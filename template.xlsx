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ula\OneDrive\Desktop\TER_project-1\"/>
    </mc:Choice>
  </mc:AlternateContent>
  <xr:revisionPtr revIDLastSave="0" documentId="13_ncr:1_{C2EB7D19-AB69-4CD0-9FDD-C6D64B80AA53}" xr6:coauthVersionLast="47" xr6:coauthVersionMax="47" xr10:uidLastSave="{00000000-0000-0000-0000-000000000000}"/>
  <bookViews>
    <workbookView xWindow="5580" yWindow="4530" windowWidth="21600" windowHeight="11295" tabRatio="771" xr2:uid="{00000000-000D-0000-FFFF-FFFF00000000}"/>
  </bookViews>
  <sheets>
    <sheet name="Faculty" sheetId="28" r:id="rId1"/>
    <sheet name="Entry" sheetId="26" r:id="rId2"/>
    <sheet name="TI" sheetId="8" r:id="rId3"/>
    <sheet name="TER" sheetId="24" r:id="rId4"/>
    <sheet name="TR" sheetId="15" r:id="rId5"/>
    <sheet name="TE" sheetId="19" r:id="rId6"/>
    <sheet name="TP" sheetId="20" r:id="rId7"/>
    <sheet name="02A-S" sheetId="9" r:id="rId8"/>
    <sheet name="02A-P" sheetId="27" r:id="rId9"/>
    <sheet name="02B-Res" sheetId="12" r:id="rId10"/>
    <sheet name="02B-Ext" sheetId="13" r:id="rId11"/>
    <sheet name="02B-Prod" sheetId="14" r:id="rId12"/>
    <sheet name="03" sheetId="10" r:id="rId13"/>
    <sheet name="03-new" sheetId="23" r:id="rId14"/>
    <sheet name="DATA" sheetId="11" r:id="rId15"/>
  </sheets>
  <definedNames>
    <definedName name="Extension">DATA!$F$4:$F$7</definedName>
    <definedName name="Instruction">DATA!$D$4:$D$7</definedName>
    <definedName name="_xlnm.Print_Area" localSheetId="13">'03-new'!$A$1:$L$73</definedName>
    <definedName name="_xlnm.Print_Area" localSheetId="5">TE!$A$1:$BB$48</definedName>
    <definedName name="_xlnm.Print_Area" localSheetId="6">TP!$A$1:$BB$48</definedName>
    <definedName name="Production">DATA!$G$4:$G$7</definedName>
    <definedName name="Rank">DATA!$C$4:$C$7</definedName>
    <definedName name="Rank_Link">DATA!$B$4</definedName>
    <definedName name="Research">DATA!$E$4:$E$7</definedName>
    <definedName name="SubRank">DATA!$K$2:$K$7</definedName>
    <definedName name="SubRank_Link">DATA!$I$3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28" l="1"/>
  <c r="C10" i="28"/>
  <c r="C18" i="8"/>
  <c r="C19" i="8"/>
  <c r="D18" i="8" s="1"/>
  <c r="C20" i="8"/>
  <c r="AE53" i="8" s="1"/>
  <c r="C21" i="8"/>
  <c r="E20" i="8" s="1"/>
  <c r="C22" i="8"/>
  <c r="DH23" i="8"/>
  <c r="MD31" i="8"/>
  <c r="AG64" i="8" s="1"/>
  <c r="MD32" i="8"/>
  <c r="AG65" i="8" s="1"/>
  <c r="MD33" i="8"/>
  <c r="AG66" i="8" s="1"/>
  <c r="MD34" i="8"/>
  <c r="AG67" i="8" s="1"/>
  <c r="MD25" i="8"/>
  <c r="AG58" i="8" s="1"/>
  <c r="MD26" i="8"/>
  <c r="AG59" i="8" s="1"/>
  <c r="MD27" i="8"/>
  <c r="AG60" i="8" s="1"/>
  <c r="MD28" i="8"/>
  <c r="AG61" i="8" s="1"/>
  <c r="MD19" i="8"/>
  <c r="MD20" i="8"/>
  <c r="MD21" i="8"/>
  <c r="MD22" i="8"/>
  <c r="AG55" i="8" s="1"/>
  <c r="MD13" i="8"/>
  <c r="AG46" i="8" s="1"/>
  <c r="MD14" i="8"/>
  <c r="AG47" i="8" s="1"/>
  <c r="MD15" i="8"/>
  <c r="MD16" i="8"/>
  <c r="AG49" i="8" s="1"/>
  <c r="MS35" i="8"/>
  <c r="MT35" i="8"/>
  <c r="MU35" i="8"/>
  <c r="C12" i="8"/>
  <c r="MD30" i="8"/>
  <c r="MD24" i="8"/>
  <c r="AG57" i="8" s="1"/>
  <c r="MD18" i="8"/>
  <c r="MD12" i="8"/>
  <c r="AG45" i="8" s="1"/>
  <c r="IR35" i="8"/>
  <c r="IS35" i="8"/>
  <c r="IT35" i="8"/>
  <c r="IU35" i="8"/>
  <c r="IV35" i="8"/>
  <c r="IW35" i="8"/>
  <c r="IX35" i="8"/>
  <c r="IY35" i="8"/>
  <c r="IZ35" i="8"/>
  <c r="JA35" i="8"/>
  <c r="JB35" i="8"/>
  <c r="JC35" i="8"/>
  <c r="JD35" i="8"/>
  <c r="JE35" i="8"/>
  <c r="JF35" i="8"/>
  <c r="JG35" i="8"/>
  <c r="JH35" i="8"/>
  <c r="JI35" i="8"/>
  <c r="JJ35" i="8"/>
  <c r="JK35" i="8"/>
  <c r="JL35" i="8"/>
  <c r="JM35" i="8"/>
  <c r="JN35" i="8"/>
  <c r="JO35" i="8"/>
  <c r="JP35" i="8"/>
  <c r="JQ35" i="8"/>
  <c r="JR35" i="8"/>
  <c r="JS35" i="8"/>
  <c r="JT35" i="8"/>
  <c r="JU35" i="8"/>
  <c r="JV35" i="8"/>
  <c r="JW35" i="8"/>
  <c r="JX35" i="8"/>
  <c r="JY35" i="8"/>
  <c r="JZ35" i="8"/>
  <c r="KA35" i="8"/>
  <c r="KB35" i="8"/>
  <c r="KC35" i="8"/>
  <c r="KD35" i="8"/>
  <c r="KE35" i="8"/>
  <c r="KF35" i="8"/>
  <c r="KG35" i="8"/>
  <c r="KH35" i="8"/>
  <c r="KI35" i="8"/>
  <c r="KJ35" i="8"/>
  <c r="KK35" i="8"/>
  <c r="KL35" i="8"/>
  <c r="KM35" i="8"/>
  <c r="KN35" i="8"/>
  <c r="KO35" i="8"/>
  <c r="KP35" i="8"/>
  <c r="KQ35" i="8"/>
  <c r="KR35" i="8"/>
  <c r="KS35" i="8"/>
  <c r="KT35" i="8"/>
  <c r="KU35" i="8"/>
  <c r="KV35" i="8"/>
  <c r="KW35" i="8"/>
  <c r="KX35" i="8"/>
  <c r="KY35" i="8"/>
  <c r="KZ35" i="8"/>
  <c r="LA35" i="8"/>
  <c r="LB35" i="8"/>
  <c r="LC35" i="8"/>
  <c r="LD35" i="8"/>
  <c r="LE35" i="8"/>
  <c r="LF35" i="8"/>
  <c r="LG35" i="8"/>
  <c r="LH35" i="8"/>
  <c r="LI35" i="8"/>
  <c r="LJ35" i="8"/>
  <c r="LK35" i="8"/>
  <c r="LL35" i="8"/>
  <c r="LM35" i="8"/>
  <c r="LN35" i="8"/>
  <c r="LO35" i="8"/>
  <c r="LP35" i="8"/>
  <c r="LQ35" i="8"/>
  <c r="C16" i="8"/>
  <c r="AE49" i="8" s="1"/>
  <c r="C15" i="8"/>
  <c r="C14" i="8"/>
  <c r="C13" i="8"/>
  <c r="C34" i="8"/>
  <c r="AE67" i="8" s="1"/>
  <c r="C33" i="8"/>
  <c r="AE66" i="8" s="1"/>
  <c r="C32" i="8"/>
  <c r="AE65" i="8" s="1"/>
  <c r="C31" i="8"/>
  <c r="AE64" i="8" s="1"/>
  <c r="C30" i="8"/>
  <c r="C28" i="8"/>
  <c r="AE61" i="8" s="1"/>
  <c r="C27" i="8"/>
  <c r="AE60" i="8" s="1"/>
  <c r="C26" i="8"/>
  <c r="AE59" i="8" s="1"/>
  <c r="C25" i="8"/>
  <c r="AE58" i="8" s="1"/>
  <c r="C24" i="8"/>
  <c r="DJ23" i="8" s="1"/>
  <c r="AE52" i="8"/>
  <c r="BU35" i="8"/>
  <c r="BV35" i="8"/>
  <c r="BW35" i="8"/>
  <c r="BX35" i="8"/>
  <c r="BY35" i="8"/>
  <c r="BZ35" i="8"/>
  <c r="CA35" i="8"/>
  <c r="CB35" i="8"/>
  <c r="CC35" i="8"/>
  <c r="CD35" i="8"/>
  <c r="CE35" i="8"/>
  <c r="CF35" i="8"/>
  <c r="CG35" i="8"/>
  <c r="CH35" i="8"/>
  <c r="CI35" i="8"/>
  <c r="CJ35" i="8"/>
  <c r="CK35" i="8"/>
  <c r="CL35" i="8"/>
  <c r="CM35" i="8"/>
  <c r="CN35" i="8"/>
  <c r="CO35" i="8"/>
  <c r="CP35" i="8"/>
  <c r="CQ35" i="8"/>
  <c r="CR35" i="8"/>
  <c r="CS35" i="8"/>
  <c r="CT35" i="8"/>
  <c r="CU35" i="8"/>
  <c r="CV35" i="8"/>
  <c r="CW35" i="8"/>
  <c r="CX35" i="8"/>
  <c r="CY35" i="8"/>
  <c r="CZ35" i="8"/>
  <c r="DA35" i="8"/>
  <c r="DB35" i="8"/>
  <c r="DC35" i="8"/>
  <c r="DD35" i="8"/>
  <c r="DE35" i="8"/>
  <c r="DF35" i="8"/>
  <c r="DG35" i="8"/>
  <c r="DH35" i="8"/>
  <c r="DI35" i="8"/>
  <c r="DJ35" i="8"/>
  <c r="DK35" i="8"/>
  <c r="DL35" i="8"/>
  <c r="DM35" i="8"/>
  <c r="DN35" i="8"/>
  <c r="DO35" i="8"/>
  <c r="DP35" i="8"/>
  <c r="DQ35" i="8"/>
  <c r="DR35" i="8"/>
  <c r="DS35" i="8"/>
  <c r="DT35" i="8"/>
  <c r="DU35" i="8"/>
  <c r="DV35" i="8"/>
  <c r="DW35" i="8"/>
  <c r="DX35" i="8"/>
  <c r="DY35" i="8"/>
  <c r="DZ35" i="8"/>
  <c r="EA35" i="8"/>
  <c r="EB35" i="8"/>
  <c r="EC35" i="8"/>
  <c r="ED35" i="8"/>
  <c r="EE35" i="8"/>
  <c r="EF35" i="8"/>
  <c r="EG35" i="8"/>
  <c r="EH35" i="8"/>
  <c r="EI35" i="8"/>
  <c r="EJ35" i="8"/>
  <c r="EK35" i="8"/>
  <c r="EL35" i="8"/>
  <c r="EM35" i="8"/>
  <c r="EN35" i="8"/>
  <c r="EO35" i="8"/>
  <c r="EP35" i="8"/>
  <c r="EQ35" i="8"/>
  <c r="ER35" i="8"/>
  <c r="ES35" i="8"/>
  <c r="ET35" i="8"/>
  <c r="EU35" i="8"/>
  <c r="EV35" i="8"/>
  <c r="EW35" i="8"/>
  <c r="EX35" i="8"/>
  <c r="EY35" i="8"/>
  <c r="EZ35" i="8"/>
  <c r="FA35" i="8"/>
  <c r="FB35" i="8"/>
  <c r="FC35" i="8"/>
  <c r="FD35" i="8"/>
  <c r="FE35" i="8"/>
  <c r="FF35" i="8"/>
  <c r="FG35" i="8"/>
  <c r="FH35" i="8"/>
  <c r="FI35" i="8"/>
  <c r="FJ35" i="8"/>
  <c r="FK35" i="8"/>
  <c r="FL35" i="8"/>
  <c r="FM35" i="8"/>
  <c r="FN35" i="8"/>
  <c r="FO35" i="8"/>
  <c r="FP35" i="8"/>
  <c r="FQ35" i="8"/>
  <c r="FR35" i="8"/>
  <c r="FS35" i="8"/>
  <c r="FT35" i="8"/>
  <c r="FU35" i="8"/>
  <c r="FV35" i="8"/>
  <c r="FW35" i="8"/>
  <c r="FX35" i="8"/>
  <c r="FY35" i="8"/>
  <c r="FZ35" i="8"/>
  <c r="GA35" i="8"/>
  <c r="GB35" i="8"/>
  <c r="GC35" i="8"/>
  <c r="GD35" i="8"/>
  <c r="GE35" i="8"/>
  <c r="GF35" i="8"/>
  <c r="GG35" i="8"/>
  <c r="GH35" i="8"/>
  <c r="GI35" i="8"/>
  <c r="GJ35" i="8"/>
  <c r="GK35" i="8"/>
  <c r="GL35" i="8"/>
  <c r="GM35" i="8"/>
  <c r="GN35" i="8"/>
  <c r="GO35" i="8"/>
  <c r="GP35" i="8"/>
  <c r="GQ35" i="8"/>
  <c r="GR35" i="8"/>
  <c r="GS35" i="8"/>
  <c r="GT35" i="8"/>
  <c r="GU35" i="8"/>
  <c r="GV35" i="8"/>
  <c r="GW35" i="8"/>
  <c r="GX35" i="8"/>
  <c r="GY35" i="8"/>
  <c r="GZ35" i="8"/>
  <c r="HA35" i="8"/>
  <c r="HB35" i="8"/>
  <c r="HC35" i="8"/>
  <c r="HD35" i="8"/>
  <c r="HE35" i="8"/>
  <c r="HF35" i="8"/>
  <c r="HG35" i="8"/>
  <c r="HH35" i="8"/>
  <c r="HI35" i="8"/>
  <c r="HJ35" i="8"/>
  <c r="HK35" i="8"/>
  <c r="HL35" i="8"/>
  <c r="HM35" i="8"/>
  <c r="HN35" i="8"/>
  <c r="HO35" i="8"/>
  <c r="HP35" i="8"/>
  <c r="HQ35" i="8"/>
  <c r="HR35" i="8"/>
  <c r="HS35" i="8"/>
  <c r="HT35" i="8"/>
  <c r="HU35" i="8"/>
  <c r="HV35" i="8"/>
  <c r="HW35" i="8"/>
  <c r="HX35" i="8"/>
  <c r="HY35" i="8"/>
  <c r="HZ35" i="8"/>
  <c r="IA35" i="8"/>
  <c r="IB35" i="8"/>
  <c r="IC35" i="8"/>
  <c r="ID35" i="8"/>
  <c r="IE35" i="8"/>
  <c r="IF35" i="8"/>
  <c r="IG35" i="8"/>
  <c r="IH35" i="8"/>
  <c r="II35" i="8"/>
  <c r="IJ35" i="8"/>
  <c r="IK35" i="8"/>
  <c r="IL35" i="8"/>
  <c r="IM35" i="8"/>
  <c r="IN35" i="8"/>
  <c r="IO35" i="8"/>
  <c r="IP35" i="8"/>
  <c r="IQ35" i="8"/>
  <c r="DH29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BR35" i="8"/>
  <c r="BS35" i="8"/>
  <c r="BT35" i="8"/>
  <c r="F35" i="8"/>
  <c r="AG52" i="8"/>
  <c r="MQ35" i="8"/>
  <c r="MR35" i="8"/>
  <c r="M49" i="28"/>
  <c r="O10" i="28"/>
  <c r="O9" i="28"/>
  <c r="S29" i="28"/>
  <c r="S28" i="28"/>
  <c r="S27" i="28"/>
  <c r="S26" i="28"/>
  <c r="Q67" i="8"/>
  <c r="Q55" i="8"/>
  <c r="Q54" i="8"/>
  <c r="AK63" i="8"/>
  <c r="AK64" i="8"/>
  <c r="AK65" i="8"/>
  <c r="AK66" i="8"/>
  <c r="AK67" i="8"/>
  <c r="AK57" i="8"/>
  <c r="AK58" i="8"/>
  <c r="AK59" i="8"/>
  <c r="AK60" i="8"/>
  <c r="AK61" i="8"/>
  <c r="AK51" i="8"/>
  <c r="AK52" i="8"/>
  <c r="AK53" i="8"/>
  <c r="AK54" i="8"/>
  <c r="AK55" i="8"/>
  <c r="AK45" i="8"/>
  <c r="AK46" i="8"/>
  <c r="AK47" i="8"/>
  <c r="AK48" i="8"/>
  <c r="AK49" i="8"/>
  <c r="AI63" i="8"/>
  <c r="AI64" i="8"/>
  <c r="AI65" i="8"/>
  <c r="AI66" i="8"/>
  <c r="AI67" i="8"/>
  <c r="AI57" i="8"/>
  <c r="AI58" i="8"/>
  <c r="AI59" i="8"/>
  <c r="AI60" i="8"/>
  <c r="AI61" i="8"/>
  <c r="AI51" i="8"/>
  <c r="AI52" i="8"/>
  <c r="AI53" i="8"/>
  <c r="AI54" i="8"/>
  <c r="AI55" i="8"/>
  <c r="AI45" i="8"/>
  <c r="AI46" i="8"/>
  <c r="AI47" i="8"/>
  <c r="AI48" i="8"/>
  <c r="AI49" i="8"/>
  <c r="M3" i="11"/>
  <c r="E13" i="23" s="1"/>
  <c r="M4" i="11"/>
  <c r="E14" i="23"/>
  <c r="F18" i="10"/>
  <c r="F25" i="10" s="1"/>
  <c r="G47" i="27"/>
  <c r="F47" i="27"/>
  <c r="E47" i="27"/>
  <c r="D47" i="27"/>
  <c r="C47" i="27"/>
  <c r="G46" i="27"/>
  <c r="F46" i="27"/>
  <c r="E46" i="27"/>
  <c r="D46" i="27"/>
  <c r="C46" i="27"/>
  <c r="G45" i="27"/>
  <c r="F45" i="27"/>
  <c r="E45" i="27"/>
  <c r="D45" i="27"/>
  <c r="C45" i="27"/>
  <c r="G44" i="27"/>
  <c r="F44" i="27"/>
  <c r="E44" i="27"/>
  <c r="D44" i="27"/>
  <c r="C44" i="27"/>
  <c r="G43" i="27"/>
  <c r="F43" i="27"/>
  <c r="E43" i="27"/>
  <c r="D43" i="27"/>
  <c r="C43" i="27"/>
  <c r="G39" i="27"/>
  <c r="F39" i="27"/>
  <c r="E39" i="27"/>
  <c r="D39" i="27"/>
  <c r="C39" i="27"/>
  <c r="G38" i="27"/>
  <c r="F38" i="27"/>
  <c r="E38" i="27"/>
  <c r="D38" i="27"/>
  <c r="C38" i="27"/>
  <c r="G37" i="27"/>
  <c r="F37" i="27"/>
  <c r="E37" i="27"/>
  <c r="D37" i="27"/>
  <c r="C37" i="27"/>
  <c r="G36" i="27"/>
  <c r="F36" i="27"/>
  <c r="E36" i="27"/>
  <c r="D36" i="27"/>
  <c r="C36" i="27"/>
  <c r="G35" i="27"/>
  <c r="F35" i="27"/>
  <c r="E35" i="27"/>
  <c r="D35" i="27"/>
  <c r="C35" i="27"/>
  <c r="G31" i="27"/>
  <c r="F31" i="27"/>
  <c r="E31" i="27"/>
  <c r="D31" i="27"/>
  <c r="C31" i="27"/>
  <c r="G30" i="27"/>
  <c r="F30" i="27"/>
  <c r="E30" i="27"/>
  <c r="D30" i="27"/>
  <c r="C30" i="27"/>
  <c r="G29" i="27"/>
  <c r="F29" i="27"/>
  <c r="E29" i="27"/>
  <c r="D29" i="27"/>
  <c r="C29" i="27"/>
  <c r="G28" i="27"/>
  <c r="F28" i="27"/>
  <c r="E28" i="27"/>
  <c r="D28" i="27"/>
  <c r="C28" i="27"/>
  <c r="C27" i="27"/>
  <c r="D27" i="27"/>
  <c r="E27" i="27"/>
  <c r="F27" i="27"/>
  <c r="G27" i="27"/>
  <c r="G23" i="27"/>
  <c r="F23" i="27"/>
  <c r="E23" i="27"/>
  <c r="D23" i="27"/>
  <c r="C23" i="27"/>
  <c r="G22" i="27"/>
  <c r="F22" i="27"/>
  <c r="E22" i="27"/>
  <c r="D22" i="27"/>
  <c r="C22" i="27"/>
  <c r="G21" i="27"/>
  <c r="F21" i="27"/>
  <c r="E21" i="27"/>
  <c r="D21" i="27"/>
  <c r="C21" i="27"/>
  <c r="G20" i="27"/>
  <c r="F20" i="27"/>
  <c r="E20" i="27"/>
  <c r="D20" i="27"/>
  <c r="C20" i="27"/>
  <c r="E19" i="27"/>
  <c r="D19" i="27"/>
  <c r="C19" i="27"/>
  <c r="F19" i="27"/>
  <c r="G19" i="27"/>
  <c r="G47" i="9"/>
  <c r="F47" i="9"/>
  <c r="E47" i="9"/>
  <c r="D47" i="9"/>
  <c r="C47" i="9"/>
  <c r="G46" i="9"/>
  <c r="F46" i="9"/>
  <c r="E46" i="9"/>
  <c r="D46" i="9"/>
  <c r="C46" i="9"/>
  <c r="G45" i="9"/>
  <c r="F45" i="9"/>
  <c r="E45" i="9"/>
  <c r="D45" i="9"/>
  <c r="C45" i="9"/>
  <c r="G44" i="9"/>
  <c r="F44" i="9"/>
  <c r="E44" i="9"/>
  <c r="D44" i="9"/>
  <c r="C44" i="9"/>
  <c r="C43" i="9"/>
  <c r="D43" i="9"/>
  <c r="E43" i="9"/>
  <c r="F43" i="9"/>
  <c r="G43" i="9"/>
  <c r="G39" i="9"/>
  <c r="F39" i="9"/>
  <c r="E39" i="9"/>
  <c r="D39" i="9"/>
  <c r="C39" i="9"/>
  <c r="G38" i="9"/>
  <c r="F38" i="9"/>
  <c r="E38" i="9"/>
  <c r="D38" i="9"/>
  <c r="C38" i="9"/>
  <c r="G37" i="9"/>
  <c r="F37" i="9"/>
  <c r="E37" i="9"/>
  <c r="D37" i="9"/>
  <c r="C37" i="9"/>
  <c r="G36" i="9"/>
  <c r="F36" i="9"/>
  <c r="E36" i="9"/>
  <c r="D36" i="9"/>
  <c r="C36" i="9"/>
  <c r="C35" i="9"/>
  <c r="D35" i="9"/>
  <c r="E35" i="9"/>
  <c r="F35" i="9"/>
  <c r="G35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19" i="9"/>
  <c r="D19" i="9"/>
  <c r="E19" i="9"/>
  <c r="F19" i="9"/>
  <c r="G19" i="9"/>
  <c r="G31" i="9"/>
  <c r="F31" i="9"/>
  <c r="E31" i="9"/>
  <c r="D31" i="9"/>
  <c r="C31" i="9"/>
  <c r="G30" i="9"/>
  <c r="F30" i="9"/>
  <c r="E30" i="9"/>
  <c r="D30" i="9"/>
  <c r="C30" i="9"/>
  <c r="G29" i="9"/>
  <c r="F29" i="9"/>
  <c r="E29" i="9"/>
  <c r="D29" i="9"/>
  <c r="C29" i="9"/>
  <c r="G28" i="9"/>
  <c r="F28" i="9"/>
  <c r="E28" i="9"/>
  <c r="D28" i="9"/>
  <c r="C28" i="9"/>
  <c r="C27" i="9"/>
  <c r="D27" i="9"/>
  <c r="E27" i="9"/>
  <c r="F27" i="9"/>
  <c r="G27" i="9"/>
  <c r="DC6" i="8"/>
  <c r="C12" i="10" s="1"/>
  <c r="F7" i="20"/>
  <c r="MG6" i="8"/>
  <c r="C13" i="14" s="1"/>
  <c r="DZ75" i="8"/>
  <c r="F54" i="13" s="1"/>
  <c r="DZ76" i="8"/>
  <c r="F55" i="14" s="1"/>
  <c r="AI46" i="20"/>
  <c r="AI45" i="20"/>
  <c r="AI44" i="20"/>
  <c r="AI43" i="20"/>
  <c r="AI46" i="19"/>
  <c r="AI45" i="19"/>
  <c r="AI44" i="19"/>
  <c r="AI43" i="19"/>
  <c r="J10" i="24"/>
  <c r="D10" i="24"/>
  <c r="U63" i="8"/>
  <c r="U57" i="8"/>
  <c r="U51" i="8"/>
  <c r="U45" i="8"/>
  <c r="I45" i="8"/>
  <c r="I51" i="8"/>
  <c r="I57" i="8"/>
  <c r="I63" i="8"/>
  <c r="F21" i="10"/>
  <c r="F28" i="10" s="1"/>
  <c r="F35" i="10" s="1"/>
  <c r="F20" i="10"/>
  <c r="F27" i="10" s="1"/>
  <c r="F19" i="10"/>
  <c r="F26" i="10" s="1"/>
  <c r="F40" i="10" s="1"/>
  <c r="C43" i="10"/>
  <c r="G23" i="11" s="1"/>
  <c r="C50" i="23"/>
  <c r="C36" i="10"/>
  <c r="C41" i="23"/>
  <c r="C29" i="10"/>
  <c r="E23" i="11" s="1"/>
  <c r="C32" i="23"/>
  <c r="C22" i="10"/>
  <c r="C23" i="23"/>
  <c r="J30" i="23"/>
  <c r="J48" i="23" s="1"/>
  <c r="J29" i="23"/>
  <c r="J38" i="23" s="1"/>
  <c r="J47" i="23"/>
  <c r="J28" i="23"/>
  <c r="J46" i="23" s="1"/>
  <c r="J27" i="23"/>
  <c r="J36" i="23" s="1"/>
  <c r="C43" i="12"/>
  <c r="D43" i="12"/>
  <c r="E43" i="12"/>
  <c r="F43" i="12"/>
  <c r="G43" i="12"/>
  <c r="C44" i="12"/>
  <c r="D44" i="12"/>
  <c r="E44" i="12"/>
  <c r="F44" i="12"/>
  <c r="G44" i="12"/>
  <c r="C45" i="12"/>
  <c r="D45" i="12"/>
  <c r="E45" i="12"/>
  <c r="H45" i="12" s="1" a="1"/>
  <c r="H45" i="12" s="1"/>
  <c r="F45" i="12"/>
  <c r="G45" i="12"/>
  <c r="C46" i="12"/>
  <c r="D46" i="12"/>
  <c r="E46" i="12"/>
  <c r="F46" i="12"/>
  <c r="G46" i="12"/>
  <c r="C47" i="12"/>
  <c r="D47" i="12"/>
  <c r="E47" i="12"/>
  <c r="F47" i="12"/>
  <c r="G47" i="12"/>
  <c r="C35" i="12"/>
  <c r="D35" i="12"/>
  <c r="H35" i="12" s="1" a="1"/>
  <c r="H35" i="12" s="1"/>
  <c r="E35" i="12"/>
  <c r="F35" i="12"/>
  <c r="G35" i="12"/>
  <c r="C36" i="12"/>
  <c r="D36" i="12"/>
  <c r="E36" i="12"/>
  <c r="F36" i="12"/>
  <c r="G36" i="12"/>
  <c r="C37" i="12"/>
  <c r="D37" i="12"/>
  <c r="E37" i="12"/>
  <c r="F37" i="12"/>
  <c r="G37" i="12"/>
  <c r="C38" i="12"/>
  <c r="D38" i="12"/>
  <c r="E38" i="12"/>
  <c r="F38" i="12"/>
  <c r="G38" i="12"/>
  <c r="C39" i="12"/>
  <c r="D39" i="12"/>
  <c r="E39" i="12"/>
  <c r="F39" i="12"/>
  <c r="G39" i="12"/>
  <c r="C27" i="12"/>
  <c r="D27" i="12"/>
  <c r="E27" i="12"/>
  <c r="F27" i="12"/>
  <c r="F32" i="12" s="1"/>
  <c r="G27" i="12"/>
  <c r="C28" i="12"/>
  <c r="D28" i="12"/>
  <c r="E28" i="12"/>
  <c r="F28" i="12"/>
  <c r="G28" i="12"/>
  <c r="C29" i="12"/>
  <c r="H29" i="12" s="1" a="1"/>
  <c r="H29" i="12" s="1"/>
  <c r="D29" i="12"/>
  <c r="E29" i="12"/>
  <c r="F29" i="12"/>
  <c r="G29" i="12"/>
  <c r="C30" i="12"/>
  <c r="D30" i="12"/>
  <c r="E30" i="12"/>
  <c r="F30" i="12"/>
  <c r="G30" i="12"/>
  <c r="C31" i="12"/>
  <c r="D31" i="12"/>
  <c r="E31" i="12"/>
  <c r="F31" i="12"/>
  <c r="G31" i="12"/>
  <c r="C19" i="12"/>
  <c r="D19" i="12"/>
  <c r="D24" i="12" s="1"/>
  <c r="E19" i="12"/>
  <c r="F19" i="12"/>
  <c r="F24" i="12" s="1"/>
  <c r="G19" i="12"/>
  <c r="C20" i="12"/>
  <c r="D20" i="12"/>
  <c r="H20" i="12" s="1" a="1"/>
  <c r="H20" i="12" s="1"/>
  <c r="E20" i="12"/>
  <c r="F20" i="12"/>
  <c r="G20" i="12"/>
  <c r="C21" i="12"/>
  <c r="D21" i="12"/>
  <c r="E21" i="12"/>
  <c r="F21" i="12"/>
  <c r="G21" i="12"/>
  <c r="C22" i="12"/>
  <c r="D22" i="12"/>
  <c r="E22" i="12"/>
  <c r="F22" i="12"/>
  <c r="G22" i="12"/>
  <c r="C23" i="12"/>
  <c r="D23" i="12"/>
  <c r="E23" i="12"/>
  <c r="F23" i="12"/>
  <c r="G23" i="12"/>
  <c r="F43" i="14"/>
  <c r="F44" i="14"/>
  <c r="F45" i="14"/>
  <c r="F48" i="14" s="1"/>
  <c r="F46" i="14"/>
  <c r="F47" i="14"/>
  <c r="E43" i="14"/>
  <c r="E44" i="14"/>
  <c r="E48" i="14" s="1"/>
  <c r="E45" i="14"/>
  <c r="E46" i="14"/>
  <c r="E47" i="14"/>
  <c r="D43" i="14"/>
  <c r="D44" i="14"/>
  <c r="D45" i="14"/>
  <c r="H45" i="14" s="1" a="1"/>
  <c r="H45" i="14" s="1"/>
  <c r="D46" i="14"/>
  <c r="D47" i="14"/>
  <c r="C43" i="14"/>
  <c r="C44" i="14"/>
  <c r="C45" i="14"/>
  <c r="C46" i="14"/>
  <c r="C47" i="14"/>
  <c r="H47" i="14" s="1" a="1"/>
  <c r="H47" i="14" s="1"/>
  <c r="F35" i="14"/>
  <c r="F40" i="14" s="1"/>
  <c r="F36" i="14"/>
  <c r="F37" i="14"/>
  <c r="F38" i="14"/>
  <c r="F39" i="14"/>
  <c r="E35" i="14"/>
  <c r="E36" i="14"/>
  <c r="E37" i="14"/>
  <c r="E38" i="14"/>
  <c r="E39" i="14"/>
  <c r="D35" i="14"/>
  <c r="D40" i="14" s="1"/>
  <c r="D36" i="14"/>
  <c r="D37" i="14"/>
  <c r="D38" i="14"/>
  <c r="H38" i="14" s="1" a="1"/>
  <c r="H38" i="14" s="1"/>
  <c r="D39" i="14"/>
  <c r="H39" i="14" s="1" a="1"/>
  <c r="H39" i="14" s="1"/>
  <c r="C35" i="14"/>
  <c r="C36" i="14"/>
  <c r="C37" i="14"/>
  <c r="C38" i="14"/>
  <c r="C39" i="14"/>
  <c r="G43" i="14"/>
  <c r="G44" i="14"/>
  <c r="G45" i="14"/>
  <c r="G46" i="14"/>
  <c r="G47" i="14"/>
  <c r="F27" i="14"/>
  <c r="F28" i="14"/>
  <c r="F32" i="14" s="1"/>
  <c r="F29" i="14"/>
  <c r="F30" i="14"/>
  <c r="F31" i="14"/>
  <c r="E27" i="14"/>
  <c r="E32" i="14" s="1"/>
  <c r="E28" i="14"/>
  <c r="E29" i="14"/>
  <c r="E30" i="14"/>
  <c r="E31" i="14"/>
  <c r="D27" i="14"/>
  <c r="D32" i="14" s="1"/>
  <c r="D28" i="14"/>
  <c r="D29" i="14"/>
  <c r="H29" i="14" s="1" a="1"/>
  <c r="H29" i="14" s="1"/>
  <c r="D30" i="14"/>
  <c r="D31" i="14"/>
  <c r="H31" i="14" s="1" a="1"/>
  <c r="H31" i="14" s="1"/>
  <c r="C27" i="14"/>
  <c r="C28" i="14"/>
  <c r="C29" i="14"/>
  <c r="C30" i="14"/>
  <c r="C31" i="14"/>
  <c r="G27" i="14"/>
  <c r="G32" i="14" s="1"/>
  <c r="G28" i="14"/>
  <c r="G29" i="14"/>
  <c r="G30" i="14"/>
  <c r="G31" i="14"/>
  <c r="F19" i="14"/>
  <c r="F20" i="14"/>
  <c r="F21" i="14"/>
  <c r="F22" i="14"/>
  <c r="F23" i="14"/>
  <c r="E19" i="14"/>
  <c r="E20" i="14"/>
  <c r="E24" i="14" s="1"/>
  <c r="E21" i="14"/>
  <c r="E22" i="14"/>
  <c r="E23" i="14"/>
  <c r="D19" i="14"/>
  <c r="D20" i="14"/>
  <c r="D21" i="14"/>
  <c r="D22" i="14"/>
  <c r="D23" i="14"/>
  <c r="C19" i="14"/>
  <c r="C20" i="14"/>
  <c r="H20" i="14" s="1" a="1"/>
  <c r="H20" i="14" s="1"/>
  <c r="C21" i="14"/>
  <c r="C22" i="14"/>
  <c r="C23" i="14"/>
  <c r="F43" i="13"/>
  <c r="F44" i="13"/>
  <c r="F45" i="13"/>
  <c r="F46" i="13"/>
  <c r="F47" i="13"/>
  <c r="E43" i="13"/>
  <c r="E44" i="13"/>
  <c r="E45" i="13"/>
  <c r="E46" i="13"/>
  <c r="E47" i="13"/>
  <c r="D43" i="13"/>
  <c r="D44" i="13"/>
  <c r="D45" i="13"/>
  <c r="D46" i="13"/>
  <c r="D47" i="13"/>
  <c r="C43" i="13"/>
  <c r="C44" i="13"/>
  <c r="C45" i="13"/>
  <c r="C46" i="13"/>
  <c r="C47" i="13"/>
  <c r="F27" i="13"/>
  <c r="F28" i="13"/>
  <c r="F29" i="13"/>
  <c r="F30" i="13"/>
  <c r="F31" i="13"/>
  <c r="E27" i="13"/>
  <c r="E28" i="13"/>
  <c r="E29" i="13"/>
  <c r="E30" i="13"/>
  <c r="E31" i="13"/>
  <c r="D27" i="13"/>
  <c r="D28" i="13"/>
  <c r="H28" i="13" a="1"/>
  <c r="H28" i="13" s="1"/>
  <c r="D29" i="13"/>
  <c r="D30" i="13"/>
  <c r="D31" i="13"/>
  <c r="C27" i="13"/>
  <c r="C28" i="13"/>
  <c r="C29" i="13"/>
  <c r="H29" i="13" s="1" a="1"/>
  <c r="H29" i="13" s="1"/>
  <c r="C30" i="13"/>
  <c r="C31" i="13"/>
  <c r="G27" i="13"/>
  <c r="G28" i="13"/>
  <c r="G29" i="13"/>
  <c r="G30" i="13"/>
  <c r="G31" i="13"/>
  <c r="G43" i="13"/>
  <c r="G48" i="13" s="1"/>
  <c r="G44" i="13"/>
  <c r="G45" i="13"/>
  <c r="G46" i="13"/>
  <c r="G47" i="13"/>
  <c r="S67" i="8"/>
  <c r="S61" i="8"/>
  <c r="Q61" i="8"/>
  <c r="S55" i="8"/>
  <c r="S54" i="8"/>
  <c r="S49" i="8"/>
  <c r="Q49" i="8"/>
  <c r="S48" i="8"/>
  <c r="Q48" i="8"/>
  <c r="G67" i="8"/>
  <c r="E67" i="8"/>
  <c r="G61" i="8"/>
  <c r="E61" i="8"/>
  <c r="G55" i="8"/>
  <c r="E55" i="8"/>
  <c r="G54" i="8"/>
  <c r="E54" i="8"/>
  <c r="G49" i="8"/>
  <c r="E49" i="8"/>
  <c r="G48" i="8"/>
  <c r="E48" i="8"/>
  <c r="F35" i="13"/>
  <c r="F40" i="13" s="1"/>
  <c r="F36" i="13"/>
  <c r="F37" i="13"/>
  <c r="F38" i="13"/>
  <c r="F39" i="13"/>
  <c r="E35" i="13"/>
  <c r="E36" i="13"/>
  <c r="E37" i="13"/>
  <c r="E38" i="13"/>
  <c r="E39" i="13"/>
  <c r="D35" i="13"/>
  <c r="D36" i="13"/>
  <c r="D37" i="13"/>
  <c r="D38" i="13"/>
  <c r="D39" i="13"/>
  <c r="C35" i="13"/>
  <c r="C36" i="13"/>
  <c r="C37" i="13"/>
  <c r="H37" i="13" s="1" a="1"/>
  <c r="H37" i="13" s="1"/>
  <c r="C38" i="13"/>
  <c r="C39" i="13"/>
  <c r="H39" i="13" s="1" a="1"/>
  <c r="H39" i="13" s="1"/>
  <c r="G35" i="13"/>
  <c r="G36" i="13"/>
  <c r="G37" i="13"/>
  <c r="G38" i="13"/>
  <c r="G39" i="13"/>
  <c r="F19" i="13"/>
  <c r="F20" i="13"/>
  <c r="F21" i="13"/>
  <c r="F22" i="13"/>
  <c r="F23" i="13"/>
  <c r="F24" i="13" s="1"/>
  <c r="E19" i="13"/>
  <c r="E20" i="13"/>
  <c r="E21" i="13"/>
  <c r="E22" i="13"/>
  <c r="E23" i="13"/>
  <c r="D19" i="13"/>
  <c r="D20" i="13"/>
  <c r="D21" i="13"/>
  <c r="D22" i="13"/>
  <c r="D23" i="13"/>
  <c r="C19" i="13"/>
  <c r="C24" i="13" s="1"/>
  <c r="C20" i="13"/>
  <c r="C21" i="13"/>
  <c r="C22" i="13"/>
  <c r="C23" i="13"/>
  <c r="G19" i="13"/>
  <c r="G20" i="13"/>
  <c r="G21" i="13"/>
  <c r="G22" i="13"/>
  <c r="G23" i="13"/>
  <c r="D42" i="13"/>
  <c r="D34" i="13"/>
  <c r="D26" i="13"/>
  <c r="J9" i="19"/>
  <c r="D16" i="13"/>
  <c r="G35" i="14"/>
  <c r="G40" i="14" s="1"/>
  <c r="H35" i="14" a="1"/>
  <c r="H35" i="14" s="1"/>
  <c r="G36" i="14"/>
  <c r="G37" i="14"/>
  <c r="G38" i="14"/>
  <c r="G39" i="14"/>
  <c r="G19" i="14"/>
  <c r="G20" i="14"/>
  <c r="G21" i="14"/>
  <c r="G22" i="14"/>
  <c r="H22" i="14" s="1" a="1"/>
  <c r="H22" i="14" s="1"/>
  <c r="G23" i="14"/>
  <c r="D42" i="12"/>
  <c r="D42" i="14"/>
  <c r="D34" i="12"/>
  <c r="D34" i="14" s="1"/>
  <c r="D26" i="12"/>
  <c r="D26" i="14" s="1"/>
  <c r="D16" i="12"/>
  <c r="D16" i="14"/>
  <c r="J18" i="23"/>
  <c r="J19" i="23"/>
  <c r="J20" i="23"/>
  <c r="J21" i="23"/>
  <c r="D10" i="11"/>
  <c r="F10" i="11"/>
  <c r="H10" i="11"/>
  <c r="J10" i="11"/>
  <c r="MG35" i="8"/>
  <c r="MH35" i="8"/>
  <c r="MI35" i="8"/>
  <c r="MJ35" i="8"/>
  <c r="MK35" i="8"/>
  <c r="S47" i="19"/>
  <c r="T47" i="19"/>
  <c r="S43" i="19"/>
  <c r="T43" i="19" s="1"/>
  <c r="S44" i="19"/>
  <c r="T44" i="19"/>
  <c r="S45" i="19"/>
  <c r="T45" i="19"/>
  <c r="S46" i="19"/>
  <c r="T46" i="19"/>
  <c r="D47" i="19"/>
  <c r="I47" i="19"/>
  <c r="J47" i="19"/>
  <c r="I43" i="19"/>
  <c r="J43" i="19" s="1"/>
  <c r="I44" i="19"/>
  <c r="J44" i="19"/>
  <c r="I45" i="19"/>
  <c r="J45" i="19"/>
  <c r="I46" i="19"/>
  <c r="J46" i="19"/>
  <c r="D46" i="19"/>
  <c r="D45" i="19"/>
  <c r="D44" i="19"/>
  <c r="D43" i="19"/>
  <c r="E42" i="19"/>
  <c r="AO44" i="19"/>
  <c r="AP44" i="19"/>
  <c r="C12" i="19"/>
  <c r="D12" i="19" s="1"/>
  <c r="C13" i="19"/>
  <c r="D13" i="19" s="1"/>
  <c r="C14" i="19"/>
  <c r="D14" i="19" s="1"/>
  <c r="C15" i="19"/>
  <c r="D15" i="19" s="1"/>
  <c r="C16" i="19"/>
  <c r="D16" i="19"/>
  <c r="H19" i="24"/>
  <c r="L19" i="24" s="1"/>
  <c r="H20" i="24"/>
  <c r="L20" i="24"/>
  <c r="H21" i="24"/>
  <c r="L21" i="24"/>
  <c r="L25" i="24"/>
  <c r="L26" i="24"/>
  <c r="L27" i="24"/>
  <c r="L28" i="24"/>
  <c r="L29" i="24"/>
  <c r="L30" i="24"/>
  <c r="S57" i="8"/>
  <c r="S63" i="8"/>
  <c r="S51" i="8"/>
  <c r="S45" i="8"/>
  <c r="DH11" i="8"/>
  <c r="DH17" i="8"/>
  <c r="MM11" i="8"/>
  <c r="MM17" i="8"/>
  <c r="MM23" i="8"/>
  <c r="MM29" i="8"/>
  <c r="G45" i="8"/>
  <c r="G51" i="8"/>
  <c r="G57" i="8"/>
  <c r="G63" i="8"/>
  <c r="MP35" i="8"/>
  <c r="MO35" i="8"/>
  <c r="MN35" i="8"/>
  <c r="MM35" i="8"/>
  <c r="ML35" i="8"/>
  <c r="MO8" i="8"/>
  <c r="DJ8" i="8"/>
  <c r="I42" i="8"/>
  <c r="U42" i="8"/>
  <c r="E46" i="8"/>
  <c r="G46" i="8"/>
  <c r="Q46" i="8"/>
  <c r="S46" i="8"/>
  <c r="E47" i="8"/>
  <c r="G47" i="8"/>
  <c r="Q47" i="8"/>
  <c r="S47" i="8"/>
  <c r="E50" i="8"/>
  <c r="G50" i="8"/>
  <c r="Q50" i="8"/>
  <c r="S50" i="8"/>
  <c r="E52" i="8"/>
  <c r="G52" i="8"/>
  <c r="Q52" i="8"/>
  <c r="S52" i="8"/>
  <c r="E53" i="8"/>
  <c r="G53" i="8"/>
  <c r="Q53" i="8"/>
  <c r="S53" i="8"/>
  <c r="E56" i="8"/>
  <c r="G56" i="8"/>
  <c r="Q56" i="8"/>
  <c r="S56" i="8"/>
  <c r="E58" i="8"/>
  <c r="G58" i="8"/>
  <c r="Q58" i="8"/>
  <c r="S58" i="8"/>
  <c r="E59" i="8"/>
  <c r="G59" i="8"/>
  <c r="Q59" i="8"/>
  <c r="S59" i="8"/>
  <c r="E60" i="8"/>
  <c r="G60" i="8"/>
  <c r="Q60" i="8"/>
  <c r="S60" i="8"/>
  <c r="E62" i="8"/>
  <c r="G62" i="8"/>
  <c r="Q62" i="8"/>
  <c r="S62" i="8"/>
  <c r="E64" i="8"/>
  <c r="G64" i="8"/>
  <c r="Q64" i="8"/>
  <c r="S64" i="8"/>
  <c r="E65" i="8"/>
  <c r="G65" i="8"/>
  <c r="Q65" i="8"/>
  <c r="S65" i="8"/>
  <c r="E66" i="8"/>
  <c r="G66" i="8"/>
  <c r="Q66" i="8"/>
  <c r="S66" i="8"/>
  <c r="E68" i="8"/>
  <c r="G68" i="8"/>
  <c r="Q68" i="8"/>
  <c r="S68" i="8"/>
  <c r="S47" i="20"/>
  <c r="T47" i="20" s="1"/>
  <c r="S43" i="20"/>
  <c r="T43" i="20" s="1"/>
  <c r="S44" i="20"/>
  <c r="T44" i="20" s="1"/>
  <c r="S45" i="20"/>
  <c r="T45" i="20" s="1"/>
  <c r="S46" i="20"/>
  <c r="T46" i="20"/>
  <c r="D47" i="20"/>
  <c r="I47" i="20"/>
  <c r="J47" i="20" s="1"/>
  <c r="I43" i="20"/>
  <c r="J43" i="20" s="1"/>
  <c r="I44" i="20"/>
  <c r="J44" i="20"/>
  <c r="I45" i="20"/>
  <c r="J45" i="20" s="1"/>
  <c r="I46" i="20"/>
  <c r="J46" i="20" s="1"/>
  <c r="D46" i="20"/>
  <c r="D45" i="20"/>
  <c r="D44" i="20"/>
  <c r="D43" i="20"/>
  <c r="E42" i="20"/>
  <c r="AO44" i="20" s="1"/>
  <c r="AP44" i="20" s="1"/>
  <c r="J9" i="20"/>
  <c r="C12" i="20"/>
  <c r="D12" i="20"/>
  <c r="C13" i="20"/>
  <c r="D13" i="20"/>
  <c r="C14" i="20"/>
  <c r="D14" i="20"/>
  <c r="C15" i="20"/>
  <c r="D15" i="20" s="1"/>
  <c r="C16" i="20"/>
  <c r="D16" i="20" s="1"/>
  <c r="S43" i="15"/>
  <c r="AE40" i="15"/>
  <c r="AO46" i="15"/>
  <c r="AP46" i="15" s="1"/>
  <c r="S44" i="15"/>
  <c r="T44" i="15"/>
  <c r="S45" i="15"/>
  <c r="T45" i="15" s="1"/>
  <c r="S46" i="15"/>
  <c r="T46" i="15" s="1"/>
  <c r="S47" i="15"/>
  <c r="T47" i="15" s="1"/>
  <c r="D47" i="15"/>
  <c r="D46" i="15"/>
  <c r="D45" i="15"/>
  <c r="D44" i="15"/>
  <c r="D43" i="15"/>
  <c r="E42" i="15"/>
  <c r="AO44" i="15"/>
  <c r="AP44" i="15"/>
  <c r="I43" i="15"/>
  <c r="J43" i="15"/>
  <c r="I44" i="15"/>
  <c r="J44" i="15" s="1"/>
  <c r="I45" i="15"/>
  <c r="J45" i="15" s="1"/>
  <c r="I46" i="15"/>
  <c r="J46" i="15" s="1"/>
  <c r="I47" i="15"/>
  <c r="J47" i="15" s="1"/>
  <c r="C12" i="15"/>
  <c r="L9" i="15"/>
  <c r="AO43" i="15"/>
  <c r="AP43" i="15" s="1"/>
  <c r="C13" i="15"/>
  <c r="D13" i="15" s="1"/>
  <c r="C14" i="15"/>
  <c r="D14" i="15"/>
  <c r="C15" i="15"/>
  <c r="D15" i="15" s="1"/>
  <c r="C16" i="15"/>
  <c r="D16" i="15" s="1"/>
  <c r="E40" i="12"/>
  <c r="J45" i="23"/>
  <c r="T43" i="15"/>
  <c r="H30" i="14" a="1"/>
  <c r="H30" i="14"/>
  <c r="E40" i="14"/>
  <c r="C32" i="12"/>
  <c r="AP7" i="19"/>
  <c r="F7" i="15"/>
  <c r="F7" i="19"/>
  <c r="AP7" i="20"/>
  <c r="AP7" i="15"/>
  <c r="C13" i="10"/>
  <c r="F23" i="11"/>
  <c r="D12" i="15"/>
  <c r="O42" i="15"/>
  <c r="AO45" i="15" s="1"/>
  <c r="AP45" i="15" s="1"/>
  <c r="L9" i="20"/>
  <c r="AO43" i="20"/>
  <c r="AP43" i="20" s="1"/>
  <c r="H36" i="12" a="1"/>
  <c r="H36" i="12" s="1"/>
  <c r="H22" i="12" l="1" a="1"/>
  <c r="H22" i="12" s="1"/>
  <c r="C48" i="13"/>
  <c r="H23" i="13" a="1"/>
  <c r="H23" i="13" s="1"/>
  <c r="H31" i="13" a="1"/>
  <c r="H31" i="13" s="1"/>
  <c r="H47" i="13" a="1"/>
  <c r="H47" i="13" s="1"/>
  <c r="H46" i="14" a="1"/>
  <c r="H46" i="14" s="1"/>
  <c r="G32" i="12"/>
  <c r="AE40" i="20"/>
  <c r="AO46" i="20" s="1"/>
  <c r="AP46" i="20" s="1"/>
  <c r="H46" i="13" a="1"/>
  <c r="H46" i="13" s="1"/>
  <c r="F48" i="13"/>
  <c r="H21" i="12" a="1"/>
  <c r="H21" i="12" s="1"/>
  <c r="H38" i="12" a="1"/>
  <c r="H38" i="12" s="1"/>
  <c r="D24" i="13"/>
  <c r="G40" i="13"/>
  <c r="H44" i="13" a="1"/>
  <c r="H44" i="13" s="1"/>
  <c r="H48" i="13" s="1"/>
  <c r="D40" i="12"/>
  <c r="J39" i="23"/>
  <c r="H28" i="14" a="1"/>
  <c r="H28" i="14" s="1"/>
  <c r="E40" i="13"/>
  <c r="H43" i="13" a="1"/>
  <c r="H43" i="13" s="1"/>
  <c r="C32" i="14"/>
  <c r="C48" i="14"/>
  <c r="H28" i="12" a="1"/>
  <c r="H28" i="12" s="1"/>
  <c r="H44" i="12" a="1"/>
  <c r="H44" i="12" s="1"/>
  <c r="H38" i="13" a="1"/>
  <c r="H38" i="13" s="1"/>
  <c r="D32" i="13"/>
  <c r="C24" i="12"/>
  <c r="H31" i="12" a="1"/>
  <c r="H31" i="12" s="1"/>
  <c r="H23" i="14" a="1"/>
  <c r="H23" i="14" s="1"/>
  <c r="H47" i="12" a="1"/>
  <c r="H47" i="12" s="1"/>
  <c r="H30" i="13" a="1"/>
  <c r="H30" i="13" s="1"/>
  <c r="H45" i="13" a="1"/>
  <c r="H45" i="13" s="1"/>
  <c r="E32" i="12"/>
  <c r="G24" i="14"/>
  <c r="E21" i="8"/>
  <c r="H21" i="14" a="1"/>
  <c r="H21" i="14" s="1"/>
  <c r="D48" i="13"/>
  <c r="G48" i="14"/>
  <c r="D21" i="8"/>
  <c r="H35" i="13" a="1"/>
  <c r="H35" i="13" s="1"/>
  <c r="H40" i="13" s="1"/>
  <c r="G38" i="23" s="1"/>
  <c r="E32" i="13"/>
  <c r="H30" i="12" a="1"/>
  <c r="H30" i="12" s="1"/>
  <c r="D24" i="14"/>
  <c r="D48" i="14"/>
  <c r="H43" i="12" a="1"/>
  <c r="H43" i="12" s="1"/>
  <c r="H48" i="12" s="1"/>
  <c r="E24" i="13"/>
  <c r="H27" i="12" a="1"/>
  <c r="H27" i="12" s="1"/>
  <c r="H32" i="12" s="1"/>
  <c r="E26" i="10" s="1"/>
  <c r="G24" i="13"/>
  <c r="G24" i="12"/>
  <c r="H22" i="13" a="1"/>
  <c r="H22" i="13" s="1"/>
  <c r="D40" i="13"/>
  <c r="H37" i="14" a="1"/>
  <c r="H37" i="14" s="1"/>
  <c r="C48" i="12"/>
  <c r="H37" i="12" a="1"/>
  <c r="H37" i="12" s="1"/>
  <c r="C24" i="14"/>
  <c r="C40" i="14"/>
  <c r="C40" i="12"/>
  <c r="G48" i="12"/>
  <c r="G32" i="13"/>
  <c r="E24" i="12"/>
  <c r="F48" i="12"/>
  <c r="E48" i="12"/>
  <c r="F24" i="14"/>
  <c r="F40" i="12"/>
  <c r="D48" i="12"/>
  <c r="H23" i="12" a="1"/>
  <c r="H23" i="12" s="1"/>
  <c r="O42" i="20"/>
  <c r="AO45" i="20" s="1"/>
  <c r="AP45" i="20" s="1"/>
  <c r="AE40" i="19"/>
  <c r="AO46" i="19" s="1"/>
  <c r="AP46" i="19" s="1"/>
  <c r="H20" i="13" a="1"/>
  <c r="H20" i="13" s="1"/>
  <c r="H36" i="13" a="1"/>
  <c r="H36" i="13" s="1"/>
  <c r="C32" i="13"/>
  <c r="F32" i="13"/>
  <c r="E48" i="13"/>
  <c r="H19" i="12" a="1"/>
  <c r="H19" i="12" s="1"/>
  <c r="H24" i="12" s="1"/>
  <c r="D32" i="12"/>
  <c r="H39" i="12" a="1"/>
  <c r="H39" i="12" s="1"/>
  <c r="G40" i="12"/>
  <c r="J37" i="23"/>
  <c r="D20" i="8"/>
  <c r="E19" i="8"/>
  <c r="D19" i="8"/>
  <c r="E22" i="8"/>
  <c r="E18" i="8"/>
  <c r="D22" i="8"/>
  <c r="D13" i="8"/>
  <c r="D12" i="8"/>
  <c r="D16" i="8"/>
  <c r="D15" i="8"/>
  <c r="D14" i="8"/>
  <c r="E13" i="8"/>
  <c r="E14" i="8"/>
  <c r="E15" i="8"/>
  <c r="E16" i="8"/>
  <c r="E12" i="8"/>
  <c r="H39" i="27" a="1"/>
  <c r="H39" i="27" s="1"/>
  <c r="H21" i="27" a="1"/>
  <c r="H21" i="27" s="1"/>
  <c r="D28" i="8"/>
  <c r="AE54" i="8"/>
  <c r="AE48" i="8"/>
  <c r="AE47" i="8"/>
  <c r="Y47" i="8" s="1"/>
  <c r="AE46" i="8"/>
  <c r="Y46" i="8" s="1"/>
  <c r="DJ11" i="8"/>
  <c r="E28" i="8"/>
  <c r="AE55" i="8"/>
  <c r="Y55" i="8" s="1"/>
  <c r="H23" i="27" a="1"/>
  <c r="H23" i="27" s="1"/>
  <c r="U69" i="8"/>
  <c r="F17" i="24" s="1"/>
  <c r="H17" i="24" s="1"/>
  <c r="L17" i="24" s="1"/>
  <c r="MG39" i="8"/>
  <c r="F55" i="13"/>
  <c r="F55" i="12"/>
  <c r="I28" i="23"/>
  <c r="K28" i="23" s="1"/>
  <c r="F28" i="23"/>
  <c r="H40" i="12"/>
  <c r="H44" i="14" a="1"/>
  <c r="H44" i="14" s="1"/>
  <c r="E20" i="23"/>
  <c r="H19" i="14" a="1"/>
  <c r="H19" i="14" s="1"/>
  <c r="H36" i="14" a="1"/>
  <c r="H36" i="14" s="1"/>
  <c r="H40" i="14" s="1"/>
  <c r="L9" i="19"/>
  <c r="AO43" i="19" s="1"/>
  <c r="AP43" i="19" s="1"/>
  <c r="MO29" i="8"/>
  <c r="H27" i="13" a="1"/>
  <c r="H27" i="13" s="1"/>
  <c r="H32" i="13" s="1"/>
  <c r="H21" i="13" a="1"/>
  <c r="H21" i="13" s="1"/>
  <c r="C40" i="13"/>
  <c r="H46" i="12" a="1"/>
  <c r="H46" i="12" s="1"/>
  <c r="H19" i="13" a="1"/>
  <c r="H19" i="13" s="1"/>
  <c r="H27" i="14" a="1"/>
  <c r="H27" i="14" s="1"/>
  <c r="H32" i="14" s="1"/>
  <c r="O42" i="19"/>
  <c r="AO45" i="19" s="1"/>
  <c r="AP45" i="19" s="1"/>
  <c r="H43" i="14" a="1"/>
  <c r="H43" i="14" s="1"/>
  <c r="ME12" i="8"/>
  <c r="ME18" i="8"/>
  <c r="H36" i="27" a="1"/>
  <c r="H36" i="27" s="1"/>
  <c r="AU45" i="15"/>
  <c r="H38" i="27" a="1"/>
  <c r="H38" i="27" s="1"/>
  <c r="ME30" i="8"/>
  <c r="C13" i="27"/>
  <c r="C32" i="27"/>
  <c r="H30" i="27" a="1"/>
  <c r="H30" i="27" s="1"/>
  <c r="G40" i="27"/>
  <c r="F48" i="27"/>
  <c r="G21" i="23"/>
  <c r="ME34" i="8"/>
  <c r="D9" i="10"/>
  <c r="I69" i="8"/>
  <c r="H18" i="28" s="1"/>
  <c r="K18" i="28" s="1"/>
  <c r="S18" i="28" s="1"/>
  <c r="G24" i="27"/>
  <c r="H44" i="27" a="1"/>
  <c r="H44" i="27" s="1"/>
  <c r="C13" i="12"/>
  <c r="C13" i="9"/>
  <c r="H54" i="24"/>
  <c r="G32" i="27"/>
  <c r="F40" i="27"/>
  <c r="MO11" i="8"/>
  <c r="F9" i="23"/>
  <c r="ME28" i="8"/>
  <c r="AU46" i="15"/>
  <c r="D27" i="11"/>
  <c r="AU45" i="20"/>
  <c r="ME15" i="8"/>
  <c r="F42" i="10"/>
  <c r="E53" i="10"/>
  <c r="AU45" i="19"/>
  <c r="D24" i="11"/>
  <c r="MN23" i="8"/>
  <c r="G48" i="27"/>
  <c r="G20" i="23"/>
  <c r="MF21" i="8"/>
  <c r="D48" i="27"/>
  <c r="F24" i="27"/>
  <c r="AU46" i="19"/>
  <c r="H29" i="27" a="1"/>
  <c r="H29" i="27" s="1"/>
  <c r="AG51" i="8"/>
  <c r="H22" i="27" a="1"/>
  <c r="H22" i="27" s="1"/>
  <c r="H37" i="27" a="1"/>
  <c r="H37" i="27" s="1"/>
  <c r="MC35" i="8"/>
  <c r="G12" i="11" s="1"/>
  <c r="MF15" i="8"/>
  <c r="E48" i="27"/>
  <c r="E54" i="10"/>
  <c r="MF30" i="8"/>
  <c r="F55" i="27"/>
  <c r="F55" i="9"/>
  <c r="C13" i="13"/>
  <c r="F32" i="27"/>
  <c r="H35" i="27" a="1"/>
  <c r="H35" i="27" s="1"/>
  <c r="E40" i="27"/>
  <c r="H45" i="27" a="1"/>
  <c r="H45" i="27" s="1"/>
  <c r="H47" i="27" a="1"/>
  <c r="H47" i="27" s="1"/>
  <c r="E18" i="23"/>
  <c r="G19" i="23"/>
  <c r="ME16" i="8"/>
  <c r="H46" i="27" a="1"/>
  <c r="H46" i="27" s="1"/>
  <c r="H31" i="27" a="1"/>
  <c r="H31" i="27" s="1"/>
  <c r="MO17" i="8"/>
  <c r="H19" i="27" a="1"/>
  <c r="H19" i="27" s="1"/>
  <c r="D24" i="27"/>
  <c r="D32" i="27"/>
  <c r="Y49" i="8"/>
  <c r="MO23" i="8"/>
  <c r="ME27" i="8"/>
  <c r="G18" i="23"/>
  <c r="H28" i="27" a="1"/>
  <c r="H28" i="27" s="1"/>
  <c r="MF28" i="8"/>
  <c r="AU46" i="20"/>
  <c r="H20" i="27" a="1"/>
  <c r="H20" i="27" s="1"/>
  <c r="E32" i="27"/>
  <c r="D40" i="27"/>
  <c r="ME26" i="8"/>
  <c r="E24" i="27"/>
  <c r="E19" i="23"/>
  <c r="E21" i="23"/>
  <c r="F20" i="23"/>
  <c r="F41" i="10"/>
  <c r="F34" i="10"/>
  <c r="D26" i="11"/>
  <c r="Y64" i="8"/>
  <c r="ME22" i="8"/>
  <c r="ME21" i="8"/>
  <c r="MF16" i="8"/>
  <c r="C24" i="27"/>
  <c r="AG53" i="8"/>
  <c r="Y53" i="8" s="1"/>
  <c r="MF13" i="8"/>
  <c r="MF33" i="8"/>
  <c r="ME20" i="8"/>
  <c r="F54" i="12"/>
  <c r="DC39" i="8"/>
  <c r="F32" i="10"/>
  <c r="F54" i="27"/>
  <c r="ME19" i="8"/>
  <c r="Y61" i="8"/>
  <c r="ME33" i="8"/>
  <c r="MF19" i="8"/>
  <c r="ME25" i="8"/>
  <c r="M44" i="28"/>
  <c r="C12" i="27"/>
  <c r="F39" i="10"/>
  <c r="C40" i="27"/>
  <c r="Y60" i="8"/>
  <c r="AG48" i="8"/>
  <c r="F18" i="23" s="1"/>
  <c r="MF24" i="8"/>
  <c r="MF22" i="8"/>
  <c r="MF18" i="8"/>
  <c r="F33" i="10"/>
  <c r="ME13" i="8"/>
  <c r="MF26" i="8"/>
  <c r="C12" i="9"/>
  <c r="D25" i="11"/>
  <c r="F54" i="14"/>
  <c r="Y67" i="8"/>
  <c r="MN17" i="8"/>
  <c r="MN29" i="8"/>
  <c r="Y52" i="8"/>
  <c r="MF32" i="8"/>
  <c r="MF14" i="8"/>
  <c r="MF31" i="8"/>
  <c r="H27" i="27" a="1"/>
  <c r="H27" i="27" s="1"/>
  <c r="Y59" i="8"/>
  <c r="MF20" i="8"/>
  <c r="ME32" i="8"/>
  <c r="C48" i="27"/>
  <c r="MF25" i="8"/>
  <c r="ME31" i="8"/>
  <c r="C12" i="14"/>
  <c r="C12" i="13"/>
  <c r="ME14" i="8"/>
  <c r="MF27" i="8"/>
  <c r="ME24" i="8"/>
  <c r="F54" i="9"/>
  <c r="C12" i="12"/>
  <c r="Y66" i="8"/>
  <c r="MF12" i="8"/>
  <c r="D9" i="24"/>
  <c r="H49" i="24" s="1"/>
  <c r="AG54" i="8"/>
  <c r="MF34" i="8"/>
  <c r="AG63" i="8"/>
  <c r="F21" i="23" s="1"/>
  <c r="H43" i="27" a="1"/>
  <c r="H43" i="27" s="1"/>
  <c r="Y58" i="8"/>
  <c r="C32" i="11"/>
  <c r="C12" i="11"/>
  <c r="E12" i="23"/>
  <c r="Y65" i="8"/>
  <c r="H46" i="9" a="1"/>
  <c r="H46" i="9" s="1"/>
  <c r="H38" i="9" a="1"/>
  <c r="H38" i="9" s="1"/>
  <c r="H36" i="9" a="1"/>
  <c r="H36" i="9" s="1"/>
  <c r="H28" i="9" a="1"/>
  <c r="H28" i="9" s="1"/>
  <c r="H20" i="9" a="1"/>
  <c r="H20" i="9" s="1"/>
  <c r="H45" i="9" a="1"/>
  <c r="H45" i="9" s="1"/>
  <c r="H43" i="9" a="1"/>
  <c r="H43" i="9" s="1"/>
  <c r="H39" i="9" a="1"/>
  <c r="H39" i="9" s="1"/>
  <c r="H37" i="9" a="1"/>
  <c r="H37" i="9" s="1"/>
  <c r="G40" i="9"/>
  <c r="H31" i="9" a="1"/>
  <c r="H31" i="9" s="1"/>
  <c r="H29" i="9" a="1"/>
  <c r="H29" i="9" s="1"/>
  <c r="H23" i="9" a="1"/>
  <c r="H23" i="9" s="1"/>
  <c r="H47" i="9" a="1"/>
  <c r="H47" i="9" s="1"/>
  <c r="C48" i="9"/>
  <c r="H44" i="9" a="1"/>
  <c r="H44" i="9" s="1"/>
  <c r="D40" i="9"/>
  <c r="E40" i="9"/>
  <c r="H35" i="9" a="1"/>
  <c r="H35" i="9" s="1"/>
  <c r="H30" i="9" a="1"/>
  <c r="H30" i="9" s="1"/>
  <c r="H27" i="9" a="1"/>
  <c r="H27" i="9" s="1"/>
  <c r="H22" i="9" a="1"/>
  <c r="H22" i="9" s="1"/>
  <c r="H21" i="9" a="1"/>
  <c r="H21" i="9" s="1"/>
  <c r="B35" i="8"/>
  <c r="K12" i="11" s="1"/>
  <c r="F48" i="9"/>
  <c r="G48" i="9"/>
  <c r="D48" i="9"/>
  <c r="E48" i="9"/>
  <c r="C40" i="9"/>
  <c r="F40" i="9"/>
  <c r="G32" i="9"/>
  <c r="E32" i="9"/>
  <c r="F32" i="9"/>
  <c r="D32" i="9"/>
  <c r="C32" i="9"/>
  <c r="C24" i="9"/>
  <c r="E24" i="9"/>
  <c r="F24" i="9"/>
  <c r="G24" i="9"/>
  <c r="D24" i="9"/>
  <c r="H19" i="9" a="1"/>
  <c r="H19" i="9" s="1"/>
  <c r="AE45" i="8"/>
  <c r="Y45" i="8" s="1"/>
  <c r="DJ17" i="8"/>
  <c r="AE51" i="8"/>
  <c r="D30" i="8"/>
  <c r="DJ29" i="8"/>
  <c r="D33" i="8"/>
  <c r="D34" i="8"/>
  <c r="D32" i="8"/>
  <c r="D31" i="8"/>
  <c r="AE63" i="8"/>
  <c r="E34" i="8"/>
  <c r="E24" i="8"/>
  <c r="E32" i="8"/>
  <c r="D27" i="8"/>
  <c r="AE57" i="8"/>
  <c r="E30" i="8"/>
  <c r="E33" i="8"/>
  <c r="E26" i="8"/>
  <c r="D24" i="8"/>
  <c r="D25" i="8"/>
  <c r="E31" i="8"/>
  <c r="E25" i="8"/>
  <c r="D26" i="8"/>
  <c r="E27" i="8"/>
  <c r="E25" i="11" l="1"/>
  <c r="G26" i="10"/>
  <c r="H24" i="14"/>
  <c r="I45" i="23" s="1"/>
  <c r="K45" i="23" s="1"/>
  <c r="I38" i="23"/>
  <c r="K38" i="23" s="1"/>
  <c r="E34" i="10"/>
  <c r="F26" i="11" s="1"/>
  <c r="H24" i="13"/>
  <c r="E32" i="10" s="1"/>
  <c r="F24" i="11" s="1"/>
  <c r="H17" i="28"/>
  <c r="K17" i="28" s="1"/>
  <c r="S17" i="28" s="1"/>
  <c r="Y48" i="8"/>
  <c r="AA48" i="8" s="1"/>
  <c r="AK68" i="8"/>
  <c r="H12" i="11"/>
  <c r="H13" i="11" s="1"/>
  <c r="Y54" i="8"/>
  <c r="E41" i="10"/>
  <c r="G26" i="11" s="1"/>
  <c r="G47" i="23"/>
  <c r="I47" i="23"/>
  <c r="K47" i="23" s="1"/>
  <c r="I46" i="23"/>
  <c r="K46" i="23" s="1"/>
  <c r="E40" i="10"/>
  <c r="F46" i="23"/>
  <c r="E27" i="10"/>
  <c r="G29" i="23"/>
  <c r="I29" i="23"/>
  <c r="K29" i="23" s="1"/>
  <c r="I36" i="23"/>
  <c r="K36" i="23" s="1"/>
  <c r="F37" i="23"/>
  <c r="E33" i="10"/>
  <c r="F25" i="11" s="1"/>
  <c r="I37" i="23"/>
  <c r="K37" i="23" s="1"/>
  <c r="AI68" i="8"/>
  <c r="E28" i="10"/>
  <c r="H30" i="23"/>
  <c r="I30" i="23"/>
  <c r="K30" i="23" s="1"/>
  <c r="H48" i="14"/>
  <c r="E39" i="10"/>
  <c r="G24" i="11" s="1"/>
  <c r="E45" i="23"/>
  <c r="E25" i="10"/>
  <c r="E27" i="23"/>
  <c r="I27" i="23"/>
  <c r="K27" i="23" s="1"/>
  <c r="H40" i="27"/>
  <c r="E35" i="10"/>
  <c r="H39" i="23"/>
  <c r="I39" i="23"/>
  <c r="K39" i="23" s="1"/>
  <c r="H24" i="27"/>
  <c r="MO36" i="8"/>
  <c r="AG68" i="8" s="1"/>
  <c r="D12" i="11"/>
  <c r="D13" i="11" s="1"/>
  <c r="MP29" i="8"/>
  <c r="H32" i="27"/>
  <c r="Y51" i="8"/>
  <c r="H48" i="27"/>
  <c r="F19" i="23"/>
  <c r="C16" i="11"/>
  <c r="C13" i="11"/>
  <c r="C17" i="11" s="1"/>
  <c r="MP17" i="8"/>
  <c r="C37" i="11"/>
  <c r="C33" i="11"/>
  <c r="C38" i="11" s="1"/>
  <c r="MP11" i="8"/>
  <c r="MP23" i="8"/>
  <c r="H48" i="9"/>
  <c r="H40" i="9"/>
  <c r="H19" i="23"/>
  <c r="H32" i="9"/>
  <c r="H24" i="9"/>
  <c r="H18" i="23"/>
  <c r="DJ36" i="8"/>
  <c r="AE68" i="8" s="1"/>
  <c r="H21" i="23"/>
  <c r="Y63" i="8"/>
  <c r="H20" i="23"/>
  <c r="Y57" i="8"/>
  <c r="G41" i="10" l="1"/>
  <c r="G34" i="10"/>
  <c r="E36" i="23"/>
  <c r="K31" i="23"/>
  <c r="L32" i="23" s="1"/>
  <c r="AA46" i="8"/>
  <c r="AA49" i="8"/>
  <c r="AO44" i="8"/>
  <c r="AQ44" i="8" s="1"/>
  <c r="E18" i="10" s="1"/>
  <c r="G18" i="10" s="1"/>
  <c r="AA45" i="8"/>
  <c r="AA47" i="8"/>
  <c r="AK44" i="8"/>
  <c r="H16" i="28"/>
  <c r="K16" i="28" s="1"/>
  <c r="S16" i="28" s="1"/>
  <c r="AO50" i="8"/>
  <c r="AQ50" i="8" s="1"/>
  <c r="AT50" i="8" s="1"/>
  <c r="E17" i="11" s="1"/>
  <c r="F16" i="24"/>
  <c r="H16" i="24" s="1"/>
  <c r="L16" i="24" s="1"/>
  <c r="G39" i="10"/>
  <c r="E26" i="11"/>
  <c r="G27" i="10"/>
  <c r="K40" i="23"/>
  <c r="L41" i="23" s="1"/>
  <c r="G25" i="11"/>
  <c r="G32" i="11" s="1"/>
  <c r="G40" i="10"/>
  <c r="H48" i="23"/>
  <c r="I48" i="23"/>
  <c r="K48" i="23" s="1"/>
  <c r="K49" i="23" s="1"/>
  <c r="L50" i="23" s="1"/>
  <c r="E42" i="10"/>
  <c r="F27" i="11"/>
  <c r="G35" i="10"/>
  <c r="E27" i="11"/>
  <c r="G28" i="10"/>
  <c r="E24" i="11"/>
  <c r="G25" i="10"/>
  <c r="G33" i="10"/>
  <c r="F12" i="11"/>
  <c r="F13" i="11" s="1"/>
  <c r="G32" i="10"/>
  <c r="AA53" i="8"/>
  <c r="AA55" i="8"/>
  <c r="AA51" i="8"/>
  <c r="AA52" i="8"/>
  <c r="AA54" i="8"/>
  <c r="AK50" i="8"/>
  <c r="J12" i="11"/>
  <c r="H15" i="28"/>
  <c r="K15" i="28" s="1"/>
  <c r="S15" i="28" s="1"/>
  <c r="F15" i="24"/>
  <c r="H15" i="24" s="1"/>
  <c r="L15" i="24" s="1"/>
  <c r="L35" i="24" s="1"/>
  <c r="L36" i="24" s="1"/>
  <c r="L37" i="24" s="1"/>
  <c r="AA66" i="8"/>
  <c r="AA67" i="8"/>
  <c r="AK62" i="8"/>
  <c r="AA65" i="8"/>
  <c r="AO62" i="8"/>
  <c r="AQ62" i="8" s="1"/>
  <c r="AA64" i="8"/>
  <c r="AA63" i="8"/>
  <c r="AC58" i="8"/>
  <c r="AC46" i="8"/>
  <c r="AA59" i="8"/>
  <c r="AA58" i="8"/>
  <c r="AC54" i="8"/>
  <c r="AA60" i="8"/>
  <c r="AA57" i="8"/>
  <c r="AO56" i="8"/>
  <c r="AQ56" i="8" s="1"/>
  <c r="AK56" i="8"/>
  <c r="AA61" i="8"/>
  <c r="AC49" i="8"/>
  <c r="AC52" i="8"/>
  <c r="AC63" i="8"/>
  <c r="AC61" i="8"/>
  <c r="AC67" i="8"/>
  <c r="AC64" i="8"/>
  <c r="AC60" i="8"/>
  <c r="AC66" i="8"/>
  <c r="AC47" i="8"/>
  <c r="AC57" i="8"/>
  <c r="AC53" i="8"/>
  <c r="AC48" i="8"/>
  <c r="AC55" i="8"/>
  <c r="AC45" i="8"/>
  <c r="AC65" i="8"/>
  <c r="AC51" i="8"/>
  <c r="AC59" i="8"/>
  <c r="S37" i="28" l="1"/>
  <c r="S38" i="28" s="1"/>
  <c r="I18" i="23"/>
  <c r="K18" i="23" s="1"/>
  <c r="D16" i="11"/>
  <c r="AT44" i="8"/>
  <c r="D17" i="11" s="1"/>
  <c r="L12" i="11"/>
  <c r="I19" i="23"/>
  <c r="K19" i="23" s="1"/>
  <c r="E16" i="11"/>
  <c r="E19" i="10"/>
  <c r="G19" i="10" s="1"/>
  <c r="G36" i="10"/>
  <c r="D36" i="10" s="1"/>
  <c r="J37" i="11" s="1"/>
  <c r="L37" i="11" s="1"/>
  <c r="G29" i="10"/>
  <c r="D29" i="10" s="1"/>
  <c r="G37" i="11" s="1"/>
  <c r="I37" i="11" s="1"/>
  <c r="G27" i="11"/>
  <c r="K32" i="11" s="1"/>
  <c r="G42" i="10"/>
  <c r="G43" i="10" s="1"/>
  <c r="D43" i="10" s="1"/>
  <c r="M37" i="11" s="1"/>
  <c r="O37" i="11" s="1"/>
  <c r="E32" i="11"/>
  <c r="D32" i="11"/>
  <c r="I32" i="11"/>
  <c r="H32" i="11"/>
  <c r="F32" i="11"/>
  <c r="J13" i="11"/>
  <c r="M13" i="11" s="1"/>
  <c r="M12" i="11"/>
  <c r="AT62" i="8"/>
  <c r="G17" i="11" s="1"/>
  <c r="G16" i="11"/>
  <c r="I21" i="23"/>
  <c r="K21" i="23" s="1"/>
  <c r="E21" i="10"/>
  <c r="G21" i="10" s="1"/>
  <c r="F16" i="11"/>
  <c r="E20" i="10"/>
  <c r="G20" i="10" s="1"/>
  <c r="I20" i="23"/>
  <c r="K20" i="23" s="1"/>
  <c r="AT56" i="8"/>
  <c r="J32" i="11" l="1"/>
  <c r="L32" i="11"/>
  <c r="N32" i="11" s="1"/>
  <c r="O32" i="11"/>
  <c r="P32" i="11"/>
  <c r="L13" i="11"/>
  <c r="K22" i="23"/>
  <c r="L23" i="23" s="1"/>
  <c r="L51" i="23" s="1"/>
  <c r="G22" i="10"/>
  <c r="D22" i="10" s="1"/>
  <c r="D37" i="11" s="1"/>
  <c r="F17" i="11"/>
  <c r="H17" i="11" s="1"/>
  <c r="AT68" i="8"/>
  <c r="G45" i="10" l="1"/>
  <c r="P37" i="11"/>
  <c r="F37" i="11"/>
  <c r="Q37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</author>
  </authors>
  <commentList>
    <comment ref="A1" authorId="0" shapeId="0" xr:uid="{00000000-0006-0000-0200-000001000000}">
      <text>
        <r>
          <rPr>
            <sz val="10"/>
            <color indexed="81"/>
            <rFont val="Tahoma"/>
            <family val="2"/>
          </rPr>
          <t>Created by
Engr. Jamin E. Santiago
June 5, 2006</t>
        </r>
      </text>
    </comment>
    <comment ref="D10" authorId="0" shapeId="0" xr:uid="{00000000-0006-0000-0200-000002000000}">
      <text>
        <r>
          <rPr>
            <sz val="10"/>
            <color indexed="81"/>
            <rFont val="Tahoma"/>
            <family val="2"/>
          </rPr>
          <t>shows the rank of each criterion with respect to other criteria  (with 1 as the highest)  in the particular area of assesment</t>
        </r>
      </text>
    </comment>
    <comment ref="E10" authorId="0" shapeId="0" xr:uid="{00000000-0006-0000-0200-000003000000}">
      <text>
        <r>
          <rPr>
            <sz val="10"/>
            <color indexed="81"/>
            <rFont val="Tahoma"/>
            <family val="2"/>
          </rPr>
          <t xml:space="preserve">shows the rank of each criterion with respect to other criteria in </t>
        </r>
        <r>
          <rPr>
            <b/>
            <sz val="10"/>
            <color indexed="81"/>
            <rFont val="Tahoma"/>
            <family val="2"/>
          </rPr>
          <t>all</t>
        </r>
        <r>
          <rPr>
            <sz val="10"/>
            <color indexed="81"/>
            <rFont val="Tahoma"/>
            <family val="2"/>
          </rPr>
          <t xml:space="preserve"> areas of assesment</t>
        </r>
      </text>
    </comment>
    <comment ref="ME10" authorId="0" shapeId="0" xr:uid="{00000000-0006-0000-0200-000004000000}">
      <text>
        <r>
          <rPr>
            <sz val="10"/>
            <color indexed="81"/>
            <rFont val="Tahoma"/>
            <family val="2"/>
          </rPr>
          <t>shows the rank of each criterion with respect to other criteria  (with 1 as the highest)  in the particular area of assesment</t>
        </r>
      </text>
    </comment>
    <comment ref="MF10" authorId="0" shapeId="0" xr:uid="{00000000-0006-0000-0200-000005000000}">
      <text>
        <r>
          <rPr>
            <sz val="10"/>
            <color indexed="81"/>
            <rFont val="Tahoma"/>
            <family val="2"/>
          </rPr>
          <t xml:space="preserve">shows the rank of each criterion with respect to other criteria in </t>
        </r>
        <r>
          <rPr>
            <b/>
            <sz val="10"/>
            <color indexed="81"/>
            <rFont val="Tahoma"/>
            <family val="2"/>
          </rPr>
          <t>all</t>
        </r>
        <r>
          <rPr>
            <sz val="10"/>
            <color indexed="81"/>
            <rFont val="Tahoma"/>
            <family val="2"/>
          </rPr>
          <t xml:space="preserve"> areas of assesment</t>
        </r>
      </text>
    </comment>
    <comment ref="B35" authorId="0" shapeId="0" xr:uid="{00000000-0006-0000-0200-000006000000}">
      <text>
        <r>
          <rPr>
            <sz val="10"/>
            <color indexed="81"/>
            <rFont val="Tahoma"/>
            <family val="2"/>
          </rPr>
          <t>SI</t>
        </r>
      </text>
    </comment>
    <comment ref="MC35" authorId="0" shapeId="0" xr:uid="{00000000-0006-0000-0200-000007000000}">
      <text>
        <r>
          <rPr>
            <sz val="10"/>
            <color indexed="81"/>
            <rFont val="Tahoma"/>
            <family val="2"/>
          </rPr>
          <t>SI</t>
        </r>
      </text>
    </comment>
    <comment ref="AE42" authorId="0" shapeId="0" xr:uid="{00000000-0006-0000-0200-000008000000}">
      <text>
        <r>
          <rPr>
            <sz val="10"/>
            <color indexed="81"/>
            <rFont val="Tahoma"/>
            <family val="2"/>
          </rPr>
          <t>Student</t>
        </r>
      </text>
    </comment>
    <comment ref="AG42" authorId="0" shapeId="0" xr:uid="{00000000-0006-0000-0200-000009000000}">
      <text>
        <r>
          <rPr>
            <sz val="10"/>
            <color indexed="81"/>
            <rFont val="Tahoma"/>
            <family val="2"/>
          </rPr>
          <t>Peer</t>
        </r>
      </text>
    </comment>
    <comment ref="AI42" authorId="0" shapeId="0" xr:uid="{00000000-0006-0000-0200-00000A000000}">
      <text>
        <r>
          <rPr>
            <sz val="10"/>
            <color indexed="81"/>
            <rFont val="Tahoma"/>
            <family val="2"/>
          </rPr>
          <t>Self</t>
        </r>
      </text>
    </comment>
    <comment ref="AK42" authorId="0" shapeId="0" xr:uid="{00000000-0006-0000-0200-00000B000000}">
      <text>
        <r>
          <rPr>
            <sz val="10"/>
            <color indexed="81"/>
            <rFont val="Tahoma"/>
            <family val="2"/>
          </rPr>
          <t>Supervisor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</author>
  </authors>
  <commentList>
    <comment ref="A1" authorId="0" shapeId="0" xr:uid="{00000000-0006-0000-0400-000001000000}">
      <text>
        <r>
          <rPr>
            <sz val="10"/>
            <color indexed="81"/>
            <rFont val="Tahoma"/>
            <family val="2"/>
          </rPr>
          <t>Created by
Engr. Jamin E. Santiago
02-2003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</author>
  </authors>
  <commentList>
    <comment ref="A1" authorId="0" shapeId="0" xr:uid="{00000000-0006-0000-0500-000001000000}">
      <text>
        <r>
          <rPr>
            <sz val="10"/>
            <color indexed="81"/>
            <rFont val="Tahoma"/>
            <family val="2"/>
          </rPr>
          <t>Created by
Engr. Jamin E. Santiago
02-2003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</author>
  </authors>
  <commentList>
    <comment ref="A1" authorId="0" shapeId="0" xr:uid="{00000000-0006-0000-0600-000001000000}">
      <text>
        <r>
          <rPr>
            <sz val="10"/>
            <color indexed="81"/>
            <rFont val="Tahoma"/>
            <family val="2"/>
          </rPr>
          <t>Created by
Engr. Jamin E. Santiago
02-2003</t>
        </r>
      </text>
    </comment>
  </commentList>
</comments>
</file>

<file path=xl/sharedStrings.xml><?xml version="1.0" encoding="utf-8"?>
<sst xmlns="http://schemas.openxmlformats.org/spreadsheetml/2006/main" count="622" uniqueCount="251">
  <si>
    <t>Republic of the Philippines</t>
  </si>
  <si>
    <t>CAMARINES NORTE STATE COLLEGE</t>
  </si>
  <si>
    <t>Daet, Camarines Norte</t>
  </si>
  <si>
    <t>Name of Faculty:</t>
  </si>
  <si>
    <t>Rating Period:</t>
  </si>
  <si>
    <t>A.  STUDENT AS RATER</t>
  </si>
  <si>
    <t>Rank</t>
  </si>
  <si>
    <t>Group</t>
  </si>
  <si>
    <t>Rating</t>
  </si>
  <si>
    <t>SUMMARY</t>
  </si>
  <si>
    <t>TEACHING EFFECTIVENESS RATING</t>
  </si>
  <si>
    <t>Ave.</t>
  </si>
  <si>
    <t>I.  Commitment</t>
  </si>
  <si>
    <t>II.  Knowledge of Subject</t>
  </si>
  <si>
    <t>III.  Teaching for Independent Learning</t>
  </si>
  <si>
    <t>IV.  Management of Learning</t>
  </si>
  <si>
    <t>Peer No.</t>
  </si>
  <si>
    <t>B.  PEER AS RATER</t>
  </si>
  <si>
    <t>C.  SELF AS RATER</t>
  </si>
  <si>
    <t>D.  SUPERVISOR</t>
  </si>
  <si>
    <t>ST</t>
  </si>
  <si>
    <t>PE</t>
  </si>
  <si>
    <t>SE</t>
  </si>
  <si>
    <t>SU</t>
  </si>
  <si>
    <t>Weighted</t>
  </si>
  <si>
    <t>per Area</t>
  </si>
  <si>
    <t>All</t>
  </si>
  <si>
    <t>CERTIFIED CORRECT:</t>
  </si>
  <si>
    <t>SECTORAL FREQUENCY OF RATING PER AREA</t>
  </si>
  <si>
    <t>FOR INSTRUCTORS AND ASSISTANT PROFESSORS</t>
  </si>
  <si>
    <t>SECTORAL EVALUATOR</t>
  </si>
  <si>
    <t>CRITERIA</t>
  </si>
  <si>
    <t>NUMBER</t>
  </si>
  <si>
    <t>TOTAL AREA RATING</t>
  </si>
  <si>
    <t>AVERAGE</t>
  </si>
  <si>
    <t>RATING</t>
  </si>
  <si>
    <t>RATING SCALE   (1-Lowest, 5-Highest)</t>
  </si>
  <si>
    <t>II.  KNOWLEDGE OF SUBJECT</t>
  </si>
  <si>
    <t>I.  COMMITMENT</t>
  </si>
  <si>
    <t>III.  TEACHING FOR INDEPENDENT LEARNING</t>
  </si>
  <si>
    <t>IV.  MANAGEMENT OF LEARNING</t>
  </si>
  <si>
    <t>NAME OF FACULTY</t>
  </si>
  <si>
    <t>RATING PERIOD</t>
  </si>
  <si>
    <t>NBC 461- QCE FORM 02A</t>
  </si>
  <si>
    <t>NBC 461- QCE FORM 03</t>
  </si>
  <si>
    <t>INDIVIDUAL FACULTY PERFORMANCE RATING</t>
  </si>
  <si>
    <t>Area: Instruction, Research, Extension, Production</t>
  </si>
  <si>
    <t>Rating Period</t>
  </si>
  <si>
    <t>PRESENT POSITION</t>
  </si>
  <si>
    <t>INSTRUCTION</t>
  </si>
  <si>
    <t>A.  Commitment</t>
  </si>
  <si>
    <t>B.  Knowledge of Subject</t>
  </si>
  <si>
    <t>C.  Teaching for Independent Learning</t>
  </si>
  <si>
    <t>D. Management of Learning</t>
  </si>
  <si>
    <t>A.  Client Satisfaction</t>
  </si>
  <si>
    <t>B.  Leadership</t>
  </si>
  <si>
    <t>C.  Partnership Development</t>
  </si>
  <si>
    <t>D.  Community Responsibility</t>
  </si>
  <si>
    <t>Ave. Rating</t>
  </si>
  <si>
    <t>Weight</t>
  </si>
  <si>
    <t>RESEARCH</t>
  </si>
  <si>
    <t>EXTENSION</t>
  </si>
  <si>
    <t>PRODUCTION</t>
  </si>
  <si>
    <t>SUB-TOTAL  x</t>
  </si>
  <si>
    <t xml:space="preserve">Total QCE Points </t>
  </si>
  <si>
    <t>Instructor</t>
  </si>
  <si>
    <t>Asst. Professor</t>
  </si>
  <si>
    <t>Asso. Professor</t>
  </si>
  <si>
    <t>Full Professor</t>
  </si>
  <si>
    <t>Instruction</t>
  </si>
  <si>
    <t>Research</t>
  </si>
  <si>
    <t>Extension</t>
  </si>
  <si>
    <t>Production</t>
  </si>
  <si>
    <t>Rank Link</t>
  </si>
  <si>
    <t>NBC 461- QCE FORM 02B</t>
  </si>
  <si>
    <t>FOR ASSOCIATE PROFESSORS AND FULL PROFESSORS</t>
  </si>
  <si>
    <t>I.  CLIENTELE SATISFACTION</t>
  </si>
  <si>
    <t>II.  LEADERSHIP</t>
  </si>
  <si>
    <t>III.  PARTNERSHIP DEVELOPMENT</t>
  </si>
  <si>
    <t>IV.  COMMUNITY RESPONSIBILITY</t>
  </si>
  <si>
    <t>Name of Faculty</t>
  </si>
  <si>
    <t>SI</t>
  </si>
  <si>
    <t>Total</t>
  </si>
  <si>
    <t>Spreading</t>
  </si>
  <si>
    <t>Index</t>
  </si>
  <si>
    <t>Instructors and Assistant Professors</t>
  </si>
  <si>
    <t>CL</t>
  </si>
  <si>
    <t>LI</t>
  </si>
  <si>
    <t>CO</t>
  </si>
  <si>
    <t>MF</t>
  </si>
  <si>
    <t>PRODUCT</t>
  </si>
  <si>
    <t>TOTAL</t>
  </si>
  <si>
    <t>Associate Professors and Full Professor</t>
  </si>
  <si>
    <t xml:space="preserve">Total Rating </t>
  </si>
  <si>
    <t xml:space="preserve">Total Rating  </t>
  </si>
  <si>
    <t xml:space="preserve">Total </t>
  </si>
  <si>
    <t xml:space="preserve">Total  </t>
  </si>
  <si>
    <t>RATING - RESEARCH</t>
  </si>
  <si>
    <t>Rater No.</t>
  </si>
  <si>
    <t>RATING - EXTENSION</t>
  </si>
  <si>
    <t>SUMMARY - RESEARCH</t>
  </si>
  <si>
    <t>II. Leadership</t>
  </si>
  <si>
    <t>III. Partnership Development</t>
  </si>
  <si>
    <t>IV. Community Responsibility</t>
  </si>
  <si>
    <t>SUMMARY - EXTENSION</t>
  </si>
  <si>
    <t>RATING - PRODUCTION</t>
  </si>
  <si>
    <t>SUMMARY - PRODUCTION</t>
  </si>
  <si>
    <t>KS</t>
  </si>
  <si>
    <t>TIL</t>
  </si>
  <si>
    <t>ML</t>
  </si>
  <si>
    <t>PT</t>
  </si>
  <si>
    <t>Raw Score</t>
  </si>
  <si>
    <t>NBC No. 461 Evaluation</t>
  </si>
  <si>
    <t>INDIVIDUAL PERFORMANCE RATING</t>
  </si>
  <si>
    <t>RANK</t>
  </si>
  <si>
    <t>1.  Commitment</t>
  </si>
  <si>
    <t>2.  Knowledge of Subject</t>
  </si>
  <si>
    <t>4. Management of Learning</t>
  </si>
  <si>
    <t>DEPARTMENT</t>
  </si>
  <si>
    <t>Average</t>
  </si>
  <si>
    <t>CROSS RATING</t>
  </si>
  <si>
    <t>SH</t>
  </si>
  <si>
    <t>COM</t>
  </si>
  <si>
    <t xml:space="preserve">SUB-TOTAL    </t>
  </si>
  <si>
    <t>Summary of</t>
  </si>
  <si>
    <t>TOTAL QCE POINTS</t>
  </si>
  <si>
    <t>1.  Client Satisfaction</t>
  </si>
  <si>
    <t>2.  Leadership</t>
  </si>
  <si>
    <t>3.  Partnership Development</t>
  </si>
  <si>
    <t>4.  Community Responsibility</t>
  </si>
  <si>
    <t>W Rating</t>
  </si>
  <si>
    <t>3. Teaching for Independent Learning</t>
  </si>
  <si>
    <t>Legend:</t>
  </si>
  <si>
    <t>SE - Self</t>
  </si>
  <si>
    <t>PE - Peers</t>
  </si>
  <si>
    <t>SU - Supervisor</t>
  </si>
  <si>
    <t>ST - Students</t>
  </si>
  <si>
    <t>CL - Clientele</t>
  </si>
  <si>
    <t>SH - Stakeholder</t>
  </si>
  <si>
    <t>COM - Community</t>
  </si>
  <si>
    <t>LOCAL QCE EVALUATION COMMITTEE</t>
  </si>
  <si>
    <t>TEACHING EFFICIENCY RATING (TER) FORM 3</t>
  </si>
  <si>
    <t>Instructor:</t>
  </si>
  <si>
    <t>College:</t>
  </si>
  <si>
    <t>Department:</t>
  </si>
  <si>
    <t>I. PERFORMANCE:</t>
  </si>
  <si>
    <t>POINT</t>
  </si>
  <si>
    <t>EQUIVALENT</t>
  </si>
  <si>
    <t>PERCENTAGE</t>
  </si>
  <si>
    <t>SCORE</t>
  </si>
  <si>
    <t>1. Instruction</t>
  </si>
  <si>
    <t>a. Student as Rater</t>
  </si>
  <si>
    <t>b. Peer as Rater</t>
  </si>
  <si>
    <t>c. Dean as Rater</t>
  </si>
  <si>
    <t>2. Research</t>
  </si>
  <si>
    <t>3. Extension Service</t>
  </si>
  <si>
    <t>4. Productivity</t>
  </si>
  <si>
    <t>II. BEHAVIOUR</t>
  </si>
  <si>
    <t>1. Courtesy</t>
  </si>
  <si>
    <t>2. Human Relations</t>
  </si>
  <si>
    <t>3. Punctuality and Attendance</t>
  </si>
  <si>
    <t>4. Initiative</t>
  </si>
  <si>
    <t>5. Leadership (For Supervisor only)</t>
  </si>
  <si>
    <t>6. Stress Tolerance (For Supervisor only)</t>
  </si>
  <si>
    <t>For full time instructor --- items 1-4 only at 7.5% per item</t>
  </si>
  <si>
    <t>For supervisors --- items 1-6 at 5% per item</t>
  </si>
  <si>
    <t>Overall Point Score</t>
  </si>
  <si>
    <t>Equivalent Numerical Rating</t>
  </si>
  <si>
    <t>Equivalent Adjective Rating</t>
  </si>
  <si>
    <t>Descriptive Equivalent of Numerical Ratings:</t>
  </si>
  <si>
    <t>9.3   above</t>
  </si>
  <si>
    <t>- Outstanding              (O)</t>
  </si>
  <si>
    <t>7.5 - 9.2</t>
  </si>
  <si>
    <t>- Very Satisfactory    (VS)</t>
  </si>
  <si>
    <t>5.0 - 7.4</t>
  </si>
  <si>
    <t>- Satisfactory              (S)</t>
  </si>
  <si>
    <t>3.0 - 4.9</t>
  </si>
  <si>
    <t>- Fair                               (F)</t>
  </si>
  <si>
    <t>2.0 - 2.9</t>
  </si>
  <si>
    <t>- Unsatisfactory         (US)</t>
  </si>
  <si>
    <t>EMPLOYEE'S COMMENTS/REMARKS:</t>
  </si>
  <si>
    <t>DISCUSSED RATING WITH:</t>
  </si>
  <si>
    <t>Signature of Ratee / Date</t>
  </si>
  <si>
    <t>RATER'S COMMENTS/REMARKS:</t>
  </si>
  <si>
    <t>Signature of Rater / Date</t>
  </si>
  <si>
    <t>Signature of Rater's Supervisor / Date</t>
  </si>
  <si>
    <t>Engr. JAMIN E. SANTIAGO</t>
  </si>
  <si>
    <t>SONIA S. CARBONELL, Ph.D.</t>
  </si>
  <si>
    <t>RENE N. ABRERA</t>
  </si>
  <si>
    <t>Member</t>
  </si>
  <si>
    <t>MARTIN M. LUKBAN</t>
  </si>
  <si>
    <t>JAMIN E. SANTIAGO</t>
  </si>
  <si>
    <t>DOLORES C. VOLANTE</t>
  </si>
  <si>
    <t>ERLINDA J. PORCINCULA, Ph.D.</t>
  </si>
  <si>
    <t>Chairperson</t>
  </si>
  <si>
    <t>SURNAME</t>
  </si>
  <si>
    <t>FIRST NAME</t>
  </si>
  <si>
    <t>MI</t>
  </si>
  <si>
    <t>PRESENT RANK</t>
  </si>
  <si>
    <t>SUPERVISOR</t>
  </si>
  <si>
    <t>DESIGNATION</t>
  </si>
  <si>
    <t>SUB-RANK</t>
  </si>
  <si>
    <t>III</t>
  </si>
  <si>
    <t>Notes:</t>
  </si>
  <si>
    <t>There must be at least 5 peers.</t>
  </si>
  <si>
    <t>Perfect scores (100) for self, peer, and supervisor must be justified.</t>
  </si>
  <si>
    <t>version 4</t>
  </si>
  <si>
    <t>COLLEGE UNIT</t>
  </si>
  <si>
    <t>I. Clientele Satisfaction</t>
  </si>
  <si>
    <t>STUDENTS</t>
  </si>
  <si>
    <t>PEERS</t>
  </si>
  <si>
    <t>I</t>
  </si>
  <si>
    <t>II</t>
  </si>
  <si>
    <t>IV</t>
  </si>
  <si>
    <t>V</t>
  </si>
  <si>
    <t>VI</t>
  </si>
  <si>
    <t>SubRank Link</t>
  </si>
  <si>
    <t>TEACHING EFFICIENCY RATING (TER) SCALE FORM</t>
  </si>
  <si>
    <t>I. PERFORMANCE 70%</t>
  </si>
  <si>
    <t>1. Instruction (55%)</t>
  </si>
  <si>
    <t>a.)</t>
  </si>
  <si>
    <t>Student as Rater</t>
  </si>
  <si>
    <t>b.)</t>
  </si>
  <si>
    <t>Peer as Rater</t>
  </si>
  <si>
    <t>c.)</t>
  </si>
  <si>
    <t>Dean as Rater</t>
  </si>
  <si>
    <t>d.)</t>
  </si>
  <si>
    <t>Self as Rater</t>
  </si>
  <si>
    <t>II. BEHAVIOR: 30%</t>
  </si>
  <si>
    <t>4, Initiative</t>
  </si>
  <si>
    <t>5. Leadership (for Supervisors only)</t>
  </si>
  <si>
    <t>6. Stress Tolerance (for Supervisors only)</t>
  </si>
  <si>
    <t>For full time Instructor - Items 1-4 onlyn at 7.5% per item</t>
  </si>
  <si>
    <t>For Supervisors - Item 1-6 at 5% per item</t>
  </si>
  <si>
    <t>PLUS FACTOR (not to exceed one (1) credit point)</t>
  </si>
  <si>
    <t>VS</t>
  </si>
  <si>
    <t>9.3 &amp; Above - Outstanding (O)</t>
  </si>
  <si>
    <t>7.5 - 9.2      - Very Satisfactory (VS)</t>
  </si>
  <si>
    <t>5.0 - 7.4      - Satisfactory (S)</t>
  </si>
  <si>
    <t>3.0 - 4.9     - Unsatisfactory (US)</t>
  </si>
  <si>
    <t>Signature of Ratee/Date</t>
  </si>
  <si>
    <t>2.0 - 2.9    - Poor (P)</t>
  </si>
  <si>
    <t>________________________________________</t>
  </si>
  <si>
    <t>Signature of Rater/Date</t>
  </si>
  <si>
    <t>RATER'S COMMENTS/REMARKS</t>
  </si>
  <si>
    <t>Signature of Rater's Supervisor/Date</t>
  </si>
  <si>
    <t>Performance Evaluation System for Teaching Personnel</t>
  </si>
  <si>
    <t>DOLORES C. VOLANTE, Ed.D</t>
  </si>
  <si>
    <t>DANIEL E. MALIGAT, JR., DIT</t>
  </si>
  <si>
    <t>DEAN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</si>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</sst>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00"/>
    <numFmt numFmtId="165" formatCode="0.0"/>
    <numFmt numFmtId="166" formatCode="0.0000"/>
    <numFmt numFmtId="167" formatCode="0.0%"/>
  </numFmts>
  <fonts count="1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b/>
      <sz val="11"/>
      <name val="Arial Narrow"/>
      <family val="2"/>
    </font>
    <font>
      <u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i/>
      <sz val="7"/>
      <name val="Arial"/>
      <family val="2"/>
    </font>
    <font>
      <sz val="10"/>
      <color theme="3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2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9" fontId="3" fillId="0" borderId="0" xfId="2" applyFont="1" applyFill="1" applyBorder="1" applyAlignment="1" applyProtection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6" xfId="0" applyFont="1" applyFill="1" applyBorder="1"/>
    <xf numFmtId="0" fontId="1" fillId="2" borderId="10" xfId="0" applyFont="1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8" xfId="0" applyFill="1" applyBorder="1"/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5" xfId="0" applyFill="1" applyBorder="1"/>
    <xf numFmtId="0" fontId="0" fillId="3" borderId="0" xfId="0" applyFill="1"/>
    <xf numFmtId="2" fontId="0" fillId="3" borderId="0" xfId="0" applyNumberFormat="1" applyFill="1"/>
    <xf numFmtId="2" fontId="0" fillId="3" borderId="17" xfId="0" applyNumberFormat="1" applyFill="1" applyBorder="1"/>
    <xf numFmtId="0" fontId="0" fillId="3" borderId="18" xfId="0" applyFill="1" applyBorder="1"/>
    <xf numFmtId="0" fontId="0" fillId="3" borderId="11" xfId="0" applyFill="1" applyBorder="1" applyAlignment="1">
      <alignment horizontal="center"/>
    </xf>
    <xf numFmtId="0" fontId="1" fillId="3" borderId="14" xfId="0" applyFont="1" applyFill="1" applyBorder="1"/>
    <xf numFmtId="0" fontId="1" fillId="3" borderId="8" xfId="0" applyFont="1" applyFill="1" applyBorder="1"/>
    <xf numFmtId="0" fontId="1" fillId="3" borderId="15" xfId="0" applyFont="1" applyFill="1" applyBorder="1"/>
    <xf numFmtId="0" fontId="1" fillId="3" borderId="0" xfId="0" applyFont="1" applyFill="1"/>
    <xf numFmtId="0" fontId="0" fillId="0" borderId="0" xfId="0" applyProtection="1">
      <protection locked="0"/>
    </xf>
    <xf numFmtId="9" fontId="1" fillId="0" borderId="0" xfId="2" applyFill="1" applyBorder="1" applyAlignment="1" applyProtection="1"/>
    <xf numFmtId="0" fontId="0" fillId="3" borderId="9" xfId="0" applyFill="1" applyBorder="1" applyAlignment="1">
      <alignment horizontal="center"/>
    </xf>
    <xf numFmtId="0" fontId="0" fillId="3" borderId="9" xfId="0" applyFill="1" applyBorder="1"/>
    <xf numFmtId="0" fontId="0" fillId="0" borderId="0" xfId="0" applyAlignment="1">
      <alignment horizontal="left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0" xfId="0" applyFill="1" applyBorder="1"/>
    <xf numFmtId="0" fontId="0" fillId="3" borderId="14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2" fontId="0" fillId="3" borderId="34" xfId="0" applyNumberFormat="1" applyFill="1" applyBorder="1" applyAlignment="1">
      <alignment horizontal="center"/>
    </xf>
    <xf numFmtId="2" fontId="0" fillId="3" borderId="35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4" borderId="36" xfId="0" applyNumberFormat="1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9" fontId="0" fillId="3" borderId="27" xfId="0" applyNumberFormat="1" applyFill="1" applyBorder="1" applyAlignment="1">
      <alignment horizontal="center"/>
    </xf>
    <xf numFmtId="9" fontId="0" fillId="3" borderId="27" xfId="2" applyFont="1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2" fontId="0" fillId="3" borderId="27" xfId="0" applyNumberFormat="1" applyFill="1" applyBorder="1" applyAlignment="1">
      <alignment horizontal="center"/>
    </xf>
    <xf numFmtId="2" fontId="0" fillId="4" borderId="27" xfId="0" applyNumberFormat="1" applyFill="1" applyBorder="1" applyAlignment="1">
      <alignment horizontal="center"/>
    </xf>
    <xf numFmtId="2" fontId="0" fillId="4" borderId="40" xfId="0" applyNumberFormat="1" applyFill="1" applyBorder="1" applyAlignment="1">
      <alignment horizontal="center"/>
    </xf>
    <xf numFmtId="0" fontId="0" fillId="3" borderId="41" xfId="0" applyFill="1" applyBorder="1" applyAlignment="1">
      <alignment horizontal="right"/>
    </xf>
    <xf numFmtId="0" fontId="0" fillId="3" borderId="42" xfId="0" applyFill="1" applyBorder="1" applyAlignment="1">
      <alignment horizontal="center"/>
    </xf>
    <xf numFmtId="9" fontId="0" fillId="3" borderId="43" xfId="2" applyFont="1" applyFill="1" applyBorder="1" applyAlignment="1">
      <alignment horizontal="center"/>
    </xf>
    <xf numFmtId="0" fontId="0" fillId="3" borderId="44" xfId="0" applyFill="1" applyBorder="1"/>
    <xf numFmtId="0" fontId="0" fillId="3" borderId="45" xfId="0" applyFill="1" applyBorder="1"/>
    <xf numFmtId="9" fontId="0" fillId="3" borderId="46" xfId="2" applyFont="1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1" fillId="3" borderId="48" xfId="0" applyFont="1" applyFill="1" applyBorder="1"/>
    <xf numFmtId="0" fontId="2" fillId="5" borderId="27" xfId="0" applyFont="1" applyFill="1" applyBorder="1" applyAlignment="1">
      <alignment horizontal="center"/>
    </xf>
    <xf numFmtId="9" fontId="0" fillId="3" borderId="3" xfId="2" applyFont="1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7" borderId="49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4" borderId="50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7" borderId="50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50" xfId="0" applyFill="1" applyBorder="1"/>
    <xf numFmtId="0" fontId="0" fillId="2" borderId="37" xfId="0" applyFill="1" applyBorder="1"/>
    <xf numFmtId="0" fontId="2" fillId="0" borderId="0" xfId="0" applyFont="1"/>
    <xf numFmtId="0" fontId="0" fillId="4" borderId="39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9" borderId="41" xfId="0" applyFill="1" applyBorder="1" applyAlignment="1">
      <alignment horizontal="center"/>
    </xf>
    <xf numFmtId="0" fontId="0" fillId="3" borderId="41" xfId="0" applyFill="1" applyBorder="1"/>
    <xf numFmtId="0" fontId="0" fillId="3" borderId="41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2" borderId="30" xfId="0" applyFill="1" applyBorder="1"/>
    <xf numFmtId="0" fontId="0" fillId="2" borderId="52" xfId="0" applyFill="1" applyBorder="1"/>
    <xf numFmtId="0" fontId="0" fillId="2" borderId="52" xfId="0" applyFill="1" applyBorder="1" applyAlignment="1">
      <alignment horizontal="center"/>
    </xf>
    <xf numFmtId="2" fontId="0" fillId="2" borderId="52" xfId="0" applyNumberFormat="1" applyFill="1" applyBorder="1"/>
    <xf numFmtId="0" fontId="0" fillId="2" borderId="36" xfId="0" applyFill="1" applyBorder="1" applyAlignment="1">
      <alignment horizontal="right"/>
    </xf>
    <xf numFmtId="0" fontId="0" fillId="2" borderId="30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30" xfId="0" applyFill="1" applyBorder="1" applyAlignment="1">
      <alignment horizontal="center"/>
    </xf>
    <xf numFmtId="2" fontId="0" fillId="3" borderId="52" xfId="0" applyNumberFormat="1" applyFill="1" applyBorder="1"/>
    <xf numFmtId="0" fontId="0" fillId="3" borderId="52" xfId="0" applyFill="1" applyBorder="1"/>
    <xf numFmtId="0" fontId="0" fillId="3" borderId="36" xfId="0" applyFill="1" applyBorder="1"/>
    <xf numFmtId="9" fontId="1" fillId="3" borderId="8" xfId="2" applyFill="1" applyBorder="1" applyAlignment="1" applyProtection="1"/>
    <xf numFmtId="1" fontId="0" fillId="3" borderId="43" xfId="0" applyNumberFormat="1" applyFill="1" applyBorder="1" applyAlignment="1">
      <alignment horizontal="center"/>
    </xf>
    <xf numFmtId="1" fontId="0" fillId="3" borderId="53" xfId="0" applyNumberFormat="1" applyFill="1" applyBorder="1" applyAlignment="1">
      <alignment horizontal="center"/>
    </xf>
    <xf numFmtId="1" fontId="0" fillId="3" borderId="54" xfId="0" applyNumberFormat="1" applyFill="1" applyBorder="1" applyAlignment="1">
      <alignment horizontal="center"/>
    </xf>
    <xf numFmtId="1" fontId="0" fillId="3" borderId="26" xfId="0" applyNumberFormat="1" applyFill="1" applyBorder="1" applyAlignment="1">
      <alignment horizontal="center"/>
    </xf>
    <xf numFmtId="1" fontId="0" fillId="3" borderId="27" xfId="0" applyNumberFormat="1" applyFill="1" applyBorder="1" applyAlignment="1">
      <alignment horizontal="center"/>
    </xf>
    <xf numFmtId="1" fontId="0" fillId="3" borderId="28" xfId="0" applyNumberFormat="1" applyFill="1" applyBorder="1" applyAlignment="1">
      <alignment horizontal="center"/>
    </xf>
    <xf numFmtId="1" fontId="0" fillId="3" borderId="55" xfId="0" applyNumberFormat="1" applyFill="1" applyBorder="1" applyAlignment="1">
      <alignment horizontal="center"/>
    </xf>
    <xf numFmtId="1" fontId="0" fillId="3" borderId="56" xfId="0" applyNumberFormat="1" applyFill="1" applyBorder="1" applyAlignment="1">
      <alignment horizontal="center"/>
    </xf>
    <xf numFmtId="1" fontId="0" fillId="3" borderId="57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2" xfId="0" applyFill="1" applyBorder="1"/>
    <xf numFmtId="165" fontId="0" fillId="2" borderId="12" xfId="0" applyNumberFormat="1" applyFill="1" applyBorder="1"/>
    <xf numFmtId="0" fontId="0" fillId="2" borderId="13" xfId="0" applyFill="1" applyBorder="1" applyAlignment="1">
      <alignment horizontal="right"/>
    </xf>
    <xf numFmtId="0" fontId="0" fillId="3" borderId="52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6" xfId="0" applyFill="1" applyBorder="1" applyAlignment="1">
      <alignment horizontal="right"/>
    </xf>
    <xf numFmtId="1" fontId="0" fillId="2" borderId="52" xfId="0" applyNumberFormat="1" applyFill="1" applyBorder="1"/>
    <xf numFmtId="2" fontId="0" fillId="3" borderId="49" xfId="0" applyNumberFormat="1" applyFill="1" applyBorder="1" applyAlignment="1">
      <alignment horizontal="center"/>
    </xf>
    <xf numFmtId="9" fontId="0" fillId="6" borderId="41" xfId="0" applyNumberFormat="1" applyFill="1" applyBorder="1" applyAlignment="1">
      <alignment horizontal="center"/>
    </xf>
    <xf numFmtId="9" fontId="0" fillId="4" borderId="39" xfId="0" applyNumberFormat="1" applyFill="1" applyBorder="1" applyAlignment="1">
      <alignment horizontal="center"/>
    </xf>
    <xf numFmtId="9" fontId="0" fillId="7" borderId="41" xfId="0" applyNumberFormat="1" applyFill="1" applyBorder="1" applyAlignment="1">
      <alignment horizontal="center"/>
    </xf>
    <xf numFmtId="9" fontId="0" fillId="5" borderId="39" xfId="0" applyNumberFormat="1" applyFill="1" applyBorder="1" applyAlignment="1">
      <alignment horizontal="center"/>
    </xf>
    <xf numFmtId="0" fontId="0" fillId="2" borderId="41" xfId="0" applyFill="1" applyBorder="1"/>
    <xf numFmtId="0" fontId="0" fillId="2" borderId="49" xfId="0" applyFill="1" applyBorder="1"/>
    <xf numFmtId="0" fontId="0" fillId="8" borderId="41" xfId="0" applyFill="1" applyBorder="1"/>
    <xf numFmtId="0" fontId="0" fillId="9" borderId="39" xfId="0" applyFill="1" applyBorder="1"/>
    <xf numFmtId="2" fontId="0" fillId="3" borderId="39" xfId="0" applyNumberFormat="1" applyFill="1" applyBorder="1" applyAlignment="1">
      <alignment horizontal="center"/>
    </xf>
    <xf numFmtId="2" fontId="0" fillId="3" borderId="41" xfId="0" applyNumberFormat="1" applyFill="1" applyBorder="1" applyAlignment="1">
      <alignment horizontal="center"/>
    </xf>
    <xf numFmtId="2" fontId="0" fillId="3" borderId="58" xfId="0" applyNumberFormat="1" applyFill="1" applyBorder="1" applyAlignment="1">
      <alignment horizontal="center"/>
    </xf>
    <xf numFmtId="166" fontId="0" fillId="3" borderId="38" xfId="0" applyNumberFormat="1" applyFill="1" applyBorder="1" applyAlignment="1">
      <alignment horizontal="center"/>
    </xf>
    <xf numFmtId="166" fontId="0" fillId="3" borderId="49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9" fontId="3" fillId="0" borderId="0" xfId="2" applyFont="1" applyFill="1" applyBorder="1" applyAlignment="1" applyProtection="1"/>
    <xf numFmtId="0" fontId="3" fillId="0" borderId="0" xfId="0" applyFont="1"/>
    <xf numFmtId="2" fontId="3" fillId="0" borderId="0" xfId="0" applyNumberFormat="1" applyFont="1"/>
    <xf numFmtId="0" fontId="3" fillId="0" borderId="0" xfId="0" applyFont="1" applyProtection="1">
      <protection locked="0"/>
    </xf>
    <xf numFmtId="1" fontId="3" fillId="0" borderId="0" xfId="0" applyNumberFormat="1" applyFont="1"/>
    <xf numFmtId="0" fontId="3" fillId="3" borderId="19" xfId="0" applyFont="1" applyFill="1" applyBorder="1"/>
    <xf numFmtId="0" fontId="3" fillId="3" borderId="15" xfId="0" applyFont="1" applyFill="1" applyBorder="1"/>
    <xf numFmtId="0" fontId="3" fillId="3" borderId="11" xfId="0" applyFont="1" applyFill="1" applyBorder="1"/>
    <xf numFmtId="0" fontId="0" fillId="2" borderId="11" xfId="0" applyFill="1" applyBorder="1"/>
    <xf numFmtId="0" fontId="0" fillId="2" borderId="13" xfId="0" applyFill="1" applyBorder="1"/>
    <xf numFmtId="0" fontId="3" fillId="0" borderId="15" xfId="0" applyFont="1" applyBorder="1" applyProtection="1">
      <protection locked="0"/>
    </xf>
    <xf numFmtId="0" fontId="0" fillId="2" borderId="1" xfId="0" applyFill="1" applyBorder="1"/>
    <xf numFmtId="0" fontId="0" fillId="2" borderId="59" xfId="0" applyFill="1" applyBorder="1"/>
    <xf numFmtId="0" fontId="1" fillId="2" borderId="1" xfId="0" applyFont="1" applyFill="1" applyBorder="1"/>
    <xf numFmtId="0" fontId="1" fillId="2" borderId="59" xfId="0" applyFont="1" applyFill="1" applyBorder="1"/>
    <xf numFmtId="0" fontId="3" fillId="0" borderId="12" xfId="0" applyFont="1" applyBorder="1" applyProtection="1">
      <protection locked="0"/>
    </xf>
    <xf numFmtId="0" fontId="3" fillId="0" borderId="19" xfId="0" applyFont="1" applyBorder="1" applyProtection="1">
      <protection locked="0"/>
    </xf>
    <xf numFmtId="9" fontId="3" fillId="0" borderId="60" xfId="2" applyFont="1" applyFill="1" applyBorder="1" applyAlignment="1" applyProtection="1">
      <protection locked="0"/>
    </xf>
    <xf numFmtId="2" fontId="3" fillId="3" borderId="61" xfId="0" applyNumberFormat="1" applyFont="1" applyFill="1" applyBorder="1" applyAlignment="1">
      <alignment horizontal="center"/>
    </xf>
    <xf numFmtId="2" fontId="3" fillId="3" borderId="7" xfId="0" applyNumberFormat="1" applyFont="1" applyFill="1" applyBorder="1" applyAlignment="1">
      <alignment horizontal="center"/>
    </xf>
    <xf numFmtId="2" fontId="3" fillId="3" borderId="62" xfId="0" applyNumberFormat="1" applyFont="1" applyFill="1" applyBorder="1" applyAlignment="1">
      <alignment horizontal="center"/>
    </xf>
    <xf numFmtId="0" fontId="3" fillId="3" borderId="6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62" xfId="0" applyFont="1" applyFill="1" applyBorder="1" applyAlignment="1">
      <alignment horizontal="center"/>
    </xf>
    <xf numFmtId="0" fontId="3" fillId="3" borderId="63" xfId="0" applyFont="1" applyFill="1" applyBorder="1" applyAlignment="1">
      <alignment horizontal="center"/>
    </xf>
    <xf numFmtId="0" fontId="3" fillId="3" borderId="64" xfId="0" applyFont="1" applyFill="1" applyBorder="1" applyAlignment="1">
      <alignment horizontal="center"/>
    </xf>
    <xf numFmtId="9" fontId="0" fillId="3" borderId="3" xfId="2" applyFont="1" applyFill="1" applyBorder="1" applyAlignment="1" applyProtection="1">
      <alignment horizontal="center"/>
    </xf>
    <xf numFmtId="0" fontId="0" fillId="3" borderId="53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65" xfId="0" applyFill="1" applyBorder="1" applyAlignment="1">
      <alignment horizontal="center"/>
    </xf>
    <xf numFmtId="0" fontId="0" fillId="3" borderId="6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2" fillId="5" borderId="30" xfId="0" applyFont="1" applyFill="1" applyBorder="1"/>
    <xf numFmtId="0" fontId="2" fillId="5" borderId="52" xfId="0" applyFont="1" applyFill="1" applyBorder="1"/>
    <xf numFmtId="0" fontId="2" fillId="5" borderId="36" xfId="0" applyFont="1" applyFill="1" applyBorder="1"/>
    <xf numFmtId="2" fontId="0" fillId="0" borderId="0" xfId="0" applyNumberFormat="1"/>
    <xf numFmtId="2" fontId="0" fillId="3" borderId="62" xfId="0" applyNumberFormat="1" applyFill="1" applyBorder="1" applyAlignment="1">
      <alignment horizontal="center"/>
    </xf>
    <xf numFmtId="0" fontId="0" fillId="5" borderId="15" xfId="0" applyFill="1" applyBorder="1"/>
    <xf numFmtId="0" fontId="0" fillId="5" borderId="0" xfId="0" applyFill="1"/>
    <xf numFmtId="0" fontId="0" fillId="5" borderId="11" xfId="0" applyFill="1" applyBorder="1"/>
    <xf numFmtId="0" fontId="0" fillId="5" borderId="12" xfId="0" applyFill="1" applyBorder="1"/>
    <xf numFmtId="0" fontId="0" fillId="3" borderId="50" xfId="0" applyFill="1" applyBorder="1"/>
    <xf numFmtId="0" fontId="0" fillId="3" borderId="51" xfId="0" applyFill="1" applyBorder="1"/>
    <xf numFmtId="0" fontId="0" fillId="3" borderId="50" xfId="0" applyFill="1" applyBorder="1" applyAlignment="1">
      <alignment horizontal="center"/>
    </xf>
    <xf numFmtId="0" fontId="0" fillId="3" borderId="16" xfId="0" applyFill="1" applyBorder="1"/>
    <xf numFmtId="0" fontId="0" fillId="6" borderId="27" xfId="0" applyFill="1" applyBorder="1"/>
    <xf numFmtId="0" fontId="0" fillId="4" borderId="27" xfId="0" applyFill="1" applyBorder="1"/>
    <xf numFmtId="0" fontId="0" fillId="7" borderId="27" xfId="0" applyFill="1" applyBorder="1"/>
    <xf numFmtId="2" fontId="0" fillId="3" borderId="3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43" xfId="0" applyNumberFormat="1" applyFill="1" applyBorder="1" applyAlignment="1">
      <alignment horizontal="center"/>
    </xf>
    <xf numFmtId="9" fontId="0" fillId="6" borderId="3" xfId="0" applyNumberFormat="1" applyFill="1" applyBorder="1" applyAlignment="1">
      <alignment horizontal="center"/>
    </xf>
    <xf numFmtId="9" fontId="0" fillId="4" borderId="4" xfId="0" applyNumberFormat="1" applyFill="1" applyBorder="1" applyAlignment="1">
      <alignment horizontal="center"/>
    </xf>
    <xf numFmtId="9" fontId="0" fillId="7" borderId="3" xfId="0" applyNumberFormat="1" applyFill="1" applyBorder="1" applyAlignment="1">
      <alignment horizontal="center"/>
    </xf>
    <xf numFmtId="9" fontId="0" fillId="3" borderId="7" xfId="2" applyFont="1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9" borderId="27" xfId="0" applyFill="1" applyBorder="1"/>
    <xf numFmtId="0" fontId="0" fillId="9" borderId="27" xfId="0" applyFill="1" applyBorder="1" applyAlignment="1">
      <alignment horizontal="center"/>
    </xf>
    <xf numFmtId="9" fontId="0" fillId="3" borderId="38" xfId="2" applyFont="1" applyFill="1" applyBorder="1" applyAlignment="1" applyProtection="1">
      <alignment horizontal="center"/>
      <protection locked="0"/>
    </xf>
    <xf numFmtId="9" fontId="0" fillId="3" borderId="43" xfId="2" applyFont="1" applyFill="1" applyBorder="1" applyAlignment="1" applyProtection="1">
      <alignment horizontal="center"/>
      <protection locked="0"/>
    </xf>
    <xf numFmtId="9" fontId="0" fillId="3" borderId="54" xfId="2" applyFont="1" applyFill="1" applyBorder="1" applyAlignment="1" applyProtection="1">
      <alignment horizontal="center"/>
      <protection locked="0"/>
    </xf>
    <xf numFmtId="9" fontId="0" fillId="3" borderId="49" xfId="2" applyFont="1" applyFill="1" applyBorder="1" applyAlignment="1" applyProtection="1">
      <alignment horizontal="center"/>
      <protection locked="0"/>
    </xf>
    <xf numFmtId="9" fontId="0" fillId="3" borderId="27" xfId="2" applyFont="1" applyFill="1" applyBorder="1" applyAlignment="1" applyProtection="1">
      <alignment horizontal="center"/>
      <protection locked="0"/>
    </xf>
    <xf numFmtId="9" fontId="0" fillId="3" borderId="28" xfId="2" applyFont="1" applyFill="1" applyBorder="1" applyAlignment="1" applyProtection="1">
      <alignment horizontal="center"/>
      <protection locked="0"/>
    </xf>
    <xf numFmtId="9" fontId="0" fillId="3" borderId="46" xfId="2" applyFont="1" applyFill="1" applyBorder="1" applyAlignment="1" applyProtection="1">
      <alignment horizontal="center"/>
      <protection locked="0"/>
    </xf>
    <xf numFmtId="9" fontId="0" fillId="3" borderId="22" xfId="2" applyFont="1" applyFill="1" applyBorder="1" applyAlignment="1" applyProtection="1">
      <alignment horizontal="center"/>
      <protection locked="0"/>
    </xf>
    <xf numFmtId="9" fontId="0" fillId="3" borderId="23" xfId="2" applyFont="1" applyFill="1" applyBorder="1" applyAlignment="1" applyProtection="1">
      <alignment horizontal="center"/>
      <protection locked="0"/>
    </xf>
    <xf numFmtId="0" fontId="3" fillId="0" borderId="0" xfId="2" applyNumberFormat="1" applyFont="1" applyFill="1" applyBorder="1" applyAlignment="1" applyProtection="1">
      <protection locked="0"/>
    </xf>
    <xf numFmtId="0" fontId="0" fillId="0" borderId="18" xfId="0" applyBorder="1" applyProtection="1">
      <protection locked="0"/>
    </xf>
    <xf numFmtId="0" fontId="3" fillId="0" borderId="11" xfId="0" applyFont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3" fillId="0" borderId="60" xfId="0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18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0" fillId="2" borderId="27" xfId="0" applyFill="1" applyBorder="1" applyAlignment="1">
      <alignment horizontal="center"/>
    </xf>
    <xf numFmtId="0" fontId="3" fillId="0" borderId="60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1" fontId="3" fillId="0" borderId="12" xfId="0" applyNumberFormat="1" applyFont="1" applyBorder="1" applyAlignment="1" applyProtection="1">
      <alignment horizontal="center"/>
      <protection locked="0"/>
    </xf>
    <xf numFmtId="1" fontId="3" fillId="3" borderId="67" xfId="0" applyNumberFormat="1" applyFont="1" applyFill="1" applyBorder="1" applyAlignment="1">
      <alignment horizontal="center"/>
    </xf>
    <xf numFmtId="0" fontId="3" fillId="0" borderId="60" xfId="2" applyNumberFormat="1" applyFont="1" applyFill="1" applyBorder="1" applyAlignment="1" applyProtection="1">
      <protection locked="0"/>
    </xf>
    <xf numFmtId="0" fontId="0" fillId="0" borderId="60" xfId="0" applyBorder="1" applyProtection="1">
      <protection locked="0"/>
    </xf>
    <xf numFmtId="0" fontId="0" fillId="0" borderId="20" xfId="0" applyBorder="1" applyProtection="1">
      <protection locked="0"/>
    </xf>
    <xf numFmtId="0" fontId="3" fillId="3" borderId="19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2" fontId="0" fillId="3" borderId="58" xfId="0" applyNumberFormat="1" applyFill="1" applyBorder="1" applyAlignment="1" applyProtection="1">
      <alignment horizontal="center"/>
      <protection locked="0"/>
    </xf>
    <xf numFmtId="1" fontId="0" fillId="3" borderId="58" xfId="0" applyNumberFormat="1" applyFill="1" applyBorder="1" applyAlignment="1" applyProtection="1">
      <alignment horizontal="center"/>
      <protection locked="0"/>
    </xf>
    <xf numFmtId="0" fontId="0" fillId="3" borderId="60" xfId="0" applyFill="1" applyBorder="1"/>
    <xf numFmtId="0" fontId="0" fillId="3" borderId="58" xfId="0" applyFill="1" applyBorder="1"/>
    <xf numFmtId="1" fontId="0" fillId="0" borderId="50" xfId="0" applyNumberFormat="1" applyBorder="1" applyAlignment="1" applyProtection="1">
      <alignment horizontal="right"/>
      <protection locked="0"/>
    </xf>
    <xf numFmtId="1" fontId="0" fillId="0" borderId="16" xfId="0" applyNumberFormat="1" applyBorder="1" applyAlignment="1" applyProtection="1">
      <alignment horizontal="right"/>
      <protection locked="0"/>
    </xf>
    <xf numFmtId="1" fontId="0" fillId="0" borderId="51" xfId="0" applyNumberFormat="1" applyBorder="1" applyAlignment="1" applyProtection="1">
      <alignment horizontal="right"/>
      <protection locked="0"/>
    </xf>
    <xf numFmtId="1" fontId="0" fillId="0" borderId="68" xfId="0" applyNumberFormat="1" applyBorder="1" applyAlignment="1" applyProtection="1">
      <alignment horizontal="right"/>
      <protection locked="0"/>
    </xf>
    <xf numFmtId="9" fontId="1" fillId="3" borderId="8" xfId="2" applyFill="1" applyBorder="1" applyAlignment="1" applyProtection="1">
      <alignment horizontal="center"/>
    </xf>
    <xf numFmtId="0" fontId="0" fillId="3" borderId="39" xfId="0" applyFill="1" applyBorder="1" applyAlignment="1" applyProtection="1">
      <alignment horizontal="center"/>
      <protection locked="0"/>
    </xf>
    <xf numFmtId="0" fontId="0" fillId="3" borderId="58" xfId="0" applyFill="1" applyBorder="1" applyAlignment="1" applyProtection="1">
      <alignment horizontal="center"/>
      <protection locked="0"/>
    </xf>
    <xf numFmtId="0" fontId="0" fillId="0" borderId="58" xfId="0" applyBorder="1" applyAlignment="1">
      <alignment horizontal="center"/>
    </xf>
    <xf numFmtId="1" fontId="0" fillId="3" borderId="37" xfId="0" applyNumberFormat="1" applyFill="1" applyBorder="1"/>
    <xf numFmtId="1" fontId="0" fillId="3" borderId="17" xfId="0" applyNumberFormat="1" applyFill="1" applyBorder="1"/>
    <xf numFmtId="1" fontId="0" fillId="3" borderId="38" xfId="0" applyNumberFormat="1" applyFill="1" applyBorder="1"/>
    <xf numFmtId="1" fontId="0" fillId="3" borderId="69" xfId="0" applyNumberFormat="1" applyFill="1" applyBorder="1"/>
    <xf numFmtId="0" fontId="8" fillId="0" borderId="0" xfId="0" applyFont="1" applyAlignment="1">
      <alignment horizontal="center"/>
    </xf>
    <xf numFmtId="15" fontId="8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2" fontId="0" fillId="0" borderId="58" xfId="0" applyNumberFormat="1" applyBorder="1" applyAlignment="1">
      <alignment horizontal="center"/>
    </xf>
    <xf numFmtId="164" fontId="0" fillId="0" borderId="58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4" fontId="0" fillId="0" borderId="39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quotePrefix="1"/>
    <xf numFmtId="0" fontId="0" fillId="3" borderId="70" xfId="0" applyFill="1" applyBorder="1" applyAlignment="1">
      <alignment horizontal="center"/>
    </xf>
    <xf numFmtId="0" fontId="0" fillId="3" borderId="71" xfId="0" applyFill="1" applyBorder="1" applyAlignment="1">
      <alignment horizontal="center"/>
    </xf>
    <xf numFmtId="0" fontId="0" fillId="3" borderId="42" xfId="2" applyNumberFormat="1" applyFont="1" applyFill="1" applyBorder="1" applyAlignment="1" applyProtection="1">
      <alignment horizontal="center"/>
      <protection locked="0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/>
    <xf numFmtId="0" fontId="0" fillId="2" borderId="27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58" xfId="0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49" xfId="0" applyFill="1" applyBorder="1" applyAlignment="1">
      <alignment horizontal="left"/>
    </xf>
    <xf numFmtId="0" fontId="0" fillId="3" borderId="50" xfId="0" applyFill="1" applyBorder="1" applyAlignment="1">
      <alignment horizontal="right"/>
    </xf>
    <xf numFmtId="9" fontId="1" fillId="3" borderId="6" xfId="2" applyFill="1" applyBorder="1" applyAlignment="1" applyProtection="1">
      <alignment horizontal="center"/>
    </xf>
    <xf numFmtId="2" fontId="0" fillId="3" borderId="50" xfId="0" applyNumberFormat="1" applyFill="1" applyBorder="1" applyAlignment="1">
      <alignment horizontal="center"/>
    </xf>
    <xf numFmtId="2" fontId="0" fillId="4" borderId="70" xfId="0" applyNumberFormat="1" applyFill="1" applyBorder="1" applyAlignment="1">
      <alignment horizontal="center"/>
    </xf>
    <xf numFmtId="0" fontId="0" fillId="3" borderId="49" xfId="0" applyFill="1" applyBorder="1"/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7" xfId="0" applyFill="1" applyBorder="1"/>
    <xf numFmtId="0" fontId="0" fillId="2" borderId="43" xfId="0" applyFill="1" applyBorder="1"/>
    <xf numFmtId="2" fontId="0" fillId="5" borderId="27" xfId="0" applyNumberFormat="1" applyFill="1" applyBorder="1" applyAlignment="1">
      <alignment horizontal="center"/>
    </xf>
    <xf numFmtId="9" fontId="1" fillId="3" borderId="27" xfId="2" applyFill="1" applyBorder="1" applyAlignment="1" applyProtection="1">
      <alignment horizontal="center"/>
    </xf>
    <xf numFmtId="9" fontId="0" fillId="3" borderId="3" xfId="0" applyNumberFormat="1" applyFill="1" applyBorder="1" applyAlignment="1">
      <alignment horizontal="center"/>
    </xf>
    <xf numFmtId="9" fontId="1" fillId="3" borderId="0" xfId="2" applyFill="1" applyBorder="1" applyAlignment="1" applyProtection="1">
      <alignment horizontal="center"/>
    </xf>
    <xf numFmtId="9" fontId="0" fillId="3" borderId="39" xfId="0" applyNumberFormat="1" applyFill="1" applyBorder="1" applyAlignment="1">
      <alignment horizontal="center"/>
    </xf>
    <xf numFmtId="2" fontId="0" fillId="3" borderId="37" xfId="0" applyNumberFormat="1" applyFill="1" applyBorder="1" applyAlignment="1">
      <alignment horizontal="center"/>
    </xf>
    <xf numFmtId="0" fontId="0" fillId="4" borderId="51" xfId="0" applyFill="1" applyBorder="1"/>
    <xf numFmtId="0" fontId="0" fillId="4" borderId="58" xfId="0" applyFill="1" applyBorder="1"/>
    <xf numFmtId="0" fontId="0" fillId="4" borderId="39" xfId="0" applyFill="1" applyBorder="1"/>
    <xf numFmtId="2" fontId="0" fillId="6" borderId="40" xfId="0" applyNumberFormat="1" applyFill="1" applyBorder="1" applyAlignment="1">
      <alignment horizontal="center"/>
    </xf>
    <xf numFmtId="0" fontId="3" fillId="3" borderId="58" xfId="0" applyFont="1" applyFill="1" applyBorder="1" applyAlignment="1" applyProtection="1">
      <alignment horizontal="center"/>
      <protection locked="0"/>
    </xf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43" fontId="12" fillId="0" borderId="0" xfId="1"/>
    <xf numFmtId="164" fontId="0" fillId="0" borderId="0" xfId="0" applyNumberFormat="1"/>
    <xf numFmtId="164" fontId="2" fillId="0" borderId="0" xfId="0" applyNumberFormat="1" applyFont="1"/>
    <xf numFmtId="0" fontId="14" fillId="0" borderId="0" xfId="0" applyFont="1"/>
    <xf numFmtId="0" fontId="15" fillId="0" borderId="0" xfId="0" applyFont="1"/>
    <xf numFmtId="0" fontId="3" fillId="3" borderId="39" xfId="0" applyFont="1" applyFill="1" applyBorder="1" applyAlignment="1" applyProtection="1">
      <alignment horizontal="center"/>
      <protection locked="0"/>
    </xf>
    <xf numFmtId="167" fontId="3" fillId="3" borderId="0" xfId="0" applyNumberFormat="1" applyFont="1" applyFill="1" applyAlignment="1" applyProtection="1">
      <alignment horizontal="center"/>
      <protection locked="0"/>
    </xf>
    <xf numFmtId="0" fontId="0" fillId="2" borderId="0" xfId="0" applyFill="1"/>
    <xf numFmtId="0" fontId="0" fillId="2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9" fontId="1" fillId="0" borderId="6" xfId="2" applyFill="1" applyBorder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2" fontId="0" fillId="5" borderId="52" xfId="0" applyNumberForma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3" borderId="52" xfId="0" applyFill="1" applyBorder="1" applyAlignment="1">
      <alignment horizontal="right"/>
    </xf>
    <xf numFmtId="0" fontId="1" fillId="2" borderId="72" xfId="0" applyFont="1" applyFill="1" applyBorder="1"/>
    <xf numFmtId="0" fontId="1" fillId="2" borderId="73" xfId="0" applyFont="1" applyFill="1" applyBorder="1"/>
    <xf numFmtId="0" fontId="1" fillId="2" borderId="74" xfId="0" applyFont="1" applyFill="1" applyBorder="1"/>
    <xf numFmtId="0" fontId="0" fillId="3" borderId="4" xfId="0" applyFill="1" applyBorder="1"/>
    <xf numFmtId="0" fontId="2" fillId="4" borderId="30" xfId="0" applyFont="1" applyFill="1" applyBorder="1"/>
    <xf numFmtId="0" fontId="2" fillId="4" borderId="52" xfId="0" applyFont="1" applyFill="1" applyBorder="1"/>
    <xf numFmtId="9" fontId="1" fillId="0" borderId="0" xfId="2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center"/>
    </xf>
    <xf numFmtId="0" fontId="0" fillId="3" borderId="0" xfId="0" applyFill="1" applyAlignment="1">
      <alignment horizontal="right"/>
    </xf>
    <xf numFmtId="0" fontId="1" fillId="3" borderId="58" xfId="0" applyFont="1" applyFill="1" applyBorder="1" applyAlignment="1" applyProtection="1">
      <alignment horizontal="center"/>
      <protection locked="0"/>
    </xf>
    <xf numFmtId="0" fontId="1" fillId="3" borderId="39" xfId="0" applyFont="1" applyFill="1" applyBorder="1" applyAlignment="1" applyProtection="1">
      <alignment horizontal="center"/>
      <protection locked="0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1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0" xfId="0" applyFill="1" applyAlignment="1">
      <alignment horizontal="center"/>
    </xf>
    <xf numFmtId="9" fontId="1" fillId="3" borderId="8" xfId="2" applyFill="1" applyBorder="1" applyAlignment="1" applyProtection="1">
      <alignment horizontal="center"/>
    </xf>
    <xf numFmtId="9" fontId="1" fillId="3" borderId="9" xfId="2" applyFill="1" applyBorder="1" applyAlignment="1" applyProtection="1">
      <alignment horizontal="center"/>
    </xf>
    <xf numFmtId="2" fontId="0" fillId="3" borderId="16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0" fontId="0" fillId="3" borderId="50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2" fontId="0" fillId="3" borderId="30" xfId="0" applyNumberFormat="1" applyFill="1" applyBorder="1" applyAlignment="1">
      <alignment horizontal="center"/>
    </xf>
    <xf numFmtId="2" fontId="0" fillId="3" borderId="36" xfId="0" applyNumberFormat="1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9" fontId="1" fillId="0" borderId="30" xfId="2" applyFill="1" applyBorder="1" applyAlignment="1" applyProtection="1">
      <alignment horizontal="center"/>
      <protection locked="0"/>
    </xf>
    <xf numFmtId="9" fontId="1" fillId="0" borderId="36" xfId="2" applyFill="1" applyBorder="1" applyAlignment="1" applyProtection="1">
      <alignment horizontal="center"/>
      <protection locked="0"/>
    </xf>
    <xf numFmtId="2" fontId="7" fillId="6" borderId="19" xfId="0" applyNumberFormat="1" applyFont="1" applyFill="1" applyBorder="1" applyAlignment="1">
      <alignment horizontal="center" vertical="center"/>
    </xf>
    <xf numFmtId="2" fontId="7" fillId="6" borderId="6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2" fontId="7" fillId="6" borderId="11" xfId="0" applyNumberFormat="1" applyFont="1" applyFill="1" applyBorder="1" applyAlignment="1">
      <alignment horizontal="center" vertical="center"/>
    </xf>
    <xf numFmtId="2" fontId="7" fillId="6" borderId="12" xfId="0" applyNumberFormat="1" applyFont="1" applyFill="1" applyBorder="1" applyAlignment="1">
      <alignment horizontal="center" vertical="center"/>
    </xf>
    <xf numFmtId="2" fontId="7" fillId="6" borderId="13" xfId="0" applyNumberFormat="1" applyFont="1" applyFill="1" applyBorder="1" applyAlignment="1">
      <alignment horizontal="center" vertical="center"/>
    </xf>
    <xf numFmtId="2" fontId="0" fillId="4" borderId="75" xfId="0" applyNumberFormat="1" applyFill="1" applyBorder="1" applyAlignment="1">
      <alignment horizontal="center"/>
    </xf>
    <xf numFmtId="2" fontId="0" fillId="4" borderId="52" xfId="0" applyNumberFormat="1" applyFill="1" applyBorder="1" applyAlignment="1">
      <alignment horizontal="center"/>
    </xf>
    <xf numFmtId="2" fontId="0" fillId="4" borderId="47" xfId="0" applyNumberFormat="1" applyFill="1" applyBorder="1" applyAlignment="1">
      <alignment horizontal="center"/>
    </xf>
    <xf numFmtId="2" fontId="0" fillId="0" borderId="18" xfId="0" applyNumberFormat="1" applyBorder="1"/>
    <xf numFmtId="2" fontId="1" fillId="4" borderId="30" xfId="0" applyNumberFormat="1" applyFont="1" applyFill="1" applyBorder="1" applyAlignment="1">
      <alignment horizontal="center"/>
    </xf>
    <xf numFmtId="2" fontId="1" fillId="4" borderId="47" xfId="0" applyNumberFormat="1" applyFont="1" applyFill="1" applyBorder="1" applyAlignment="1">
      <alignment horizontal="center"/>
    </xf>
    <xf numFmtId="2" fontId="1" fillId="3" borderId="30" xfId="2" applyNumberFormat="1" applyFill="1" applyBorder="1" applyAlignment="1" applyProtection="1">
      <alignment horizontal="center"/>
    </xf>
    <xf numFmtId="2" fontId="1" fillId="3" borderId="36" xfId="2" applyNumberFormat="1" applyFill="1" applyBorder="1" applyAlignment="1" applyProtection="1">
      <alignment horizontal="center"/>
    </xf>
    <xf numFmtId="2" fontId="0" fillId="5" borderId="30" xfId="0" applyNumberFormat="1" applyFill="1" applyBorder="1" applyAlignment="1">
      <alignment horizontal="center"/>
    </xf>
    <xf numFmtId="2" fontId="0" fillId="5" borderId="36" xfId="0" applyNumberFormat="1" applyFill="1" applyBorder="1" applyAlignment="1">
      <alignment horizontal="center"/>
    </xf>
    <xf numFmtId="0" fontId="0" fillId="2" borderId="7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73" xfId="0" applyFill="1" applyBorder="1" applyAlignment="1">
      <alignment horizontal="center"/>
    </xf>
    <xf numFmtId="0" fontId="0" fillId="5" borderId="72" xfId="0" applyFill="1" applyBorder="1" applyAlignment="1">
      <alignment horizontal="center"/>
    </xf>
    <xf numFmtId="0" fontId="0" fillId="4" borderId="60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9" fontId="1" fillId="0" borderId="74" xfId="2" applyFill="1" applyBorder="1" applyAlignment="1" applyProtection="1">
      <alignment horizontal="center"/>
      <protection locked="0"/>
    </xf>
    <xf numFmtId="9" fontId="1" fillId="0" borderId="6" xfId="2" applyFill="1" applyBorder="1" applyAlignment="1" applyProtection="1">
      <alignment horizontal="center"/>
      <protection locked="0"/>
    </xf>
    <xf numFmtId="9" fontId="1" fillId="0" borderId="46" xfId="2" applyFill="1" applyBorder="1" applyAlignment="1" applyProtection="1">
      <alignment horizontal="center"/>
      <protection locked="0"/>
    </xf>
    <xf numFmtId="2" fontId="0" fillId="4" borderId="36" xfId="0" applyNumberFormat="1" applyFill="1" applyBorder="1" applyAlignment="1">
      <alignment horizontal="center"/>
    </xf>
    <xf numFmtId="0" fontId="3" fillId="4" borderId="60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41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2" fillId="5" borderId="30" xfId="0" applyFont="1" applyFill="1" applyBorder="1" applyAlignment="1">
      <alignment horizontal="left"/>
    </xf>
    <xf numFmtId="0" fontId="2" fillId="5" borderId="52" xfId="0" applyFont="1" applyFill="1" applyBorder="1" applyAlignment="1">
      <alignment horizontal="left"/>
    </xf>
    <xf numFmtId="0" fontId="2" fillId="5" borderId="36" xfId="0" applyFont="1" applyFill="1" applyBorder="1" applyAlignment="1">
      <alignment horizontal="left"/>
    </xf>
    <xf numFmtId="9" fontId="1" fillId="5" borderId="30" xfId="2" applyFill="1" applyBorder="1" applyAlignment="1" applyProtection="1">
      <alignment horizontal="center"/>
    </xf>
    <xf numFmtId="9" fontId="1" fillId="5" borderId="36" xfId="2" applyFill="1" applyBorder="1" applyAlignment="1" applyProtection="1">
      <alignment horizontal="center"/>
    </xf>
    <xf numFmtId="0" fontId="0" fillId="2" borderId="7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6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9" fontId="3" fillId="5" borderId="30" xfId="2" applyFont="1" applyFill="1" applyBorder="1" applyAlignment="1" applyProtection="1">
      <alignment horizontal="center"/>
    </xf>
    <xf numFmtId="9" fontId="3" fillId="5" borderId="36" xfId="2" applyFont="1" applyFill="1" applyBorder="1" applyAlignment="1" applyProtection="1">
      <alignment horizontal="center"/>
    </xf>
    <xf numFmtId="0" fontId="1" fillId="2" borderId="74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76" xfId="0" applyFont="1" applyFill="1" applyBorder="1" applyAlignment="1">
      <alignment horizontal="center" vertical="center"/>
    </xf>
    <xf numFmtId="0" fontId="1" fillId="2" borderId="77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1" fillId="2" borderId="69" xfId="0" applyFont="1" applyFill="1" applyBorder="1" applyAlignment="1">
      <alignment horizontal="center" vertical="center"/>
    </xf>
    <xf numFmtId="9" fontId="3" fillId="5" borderId="52" xfId="2" applyFont="1" applyFill="1" applyBorder="1" applyAlignment="1" applyProtection="1">
      <alignment horizontal="center"/>
    </xf>
    <xf numFmtId="0" fontId="1" fillId="2" borderId="7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3" xfId="0" applyFont="1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4" borderId="30" xfId="0" applyNumberFormat="1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2" borderId="62" xfId="0" applyFont="1" applyFill="1" applyBorder="1" applyAlignment="1">
      <alignment horizontal="center" vertical="center"/>
    </xf>
    <xf numFmtId="2" fontId="0" fillId="3" borderId="52" xfId="0" applyNumberFormat="1" applyFill="1" applyBorder="1" applyAlignment="1">
      <alignment horizontal="center"/>
    </xf>
    <xf numFmtId="9" fontId="1" fillId="5" borderId="52" xfId="2" applyFill="1" applyBorder="1" applyAlignment="1" applyProtection="1">
      <alignment horizontal="center"/>
    </xf>
    <xf numFmtId="9" fontId="1" fillId="3" borderId="8" xfId="2" applyFont="1" applyFill="1" applyBorder="1" applyAlignment="1" applyProtection="1">
      <alignment horizontal="center"/>
    </xf>
    <xf numFmtId="9" fontId="1" fillId="0" borderId="78" xfId="2" applyFill="1" applyBorder="1" applyAlignment="1" applyProtection="1">
      <alignment horizontal="center"/>
      <protection locked="0"/>
    </xf>
    <xf numFmtId="2" fontId="0" fillId="4" borderId="12" xfId="0" applyNumberFormat="1" applyFill="1" applyBorder="1" applyAlignment="1">
      <alignment horizontal="center"/>
    </xf>
    <xf numFmtId="2" fontId="0" fillId="4" borderId="13" xfId="0" applyNumberFormat="1" applyFill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58" xfId="0" applyFill="1" applyBorder="1" applyAlignment="1" applyProtection="1">
      <alignment horizontal="center"/>
      <protection locked="0"/>
    </xf>
    <xf numFmtId="0" fontId="4" fillId="2" borderId="63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2" fontId="3" fillId="3" borderId="30" xfId="2" applyNumberFormat="1" applyFont="1" applyFill="1" applyBorder="1" applyAlignment="1" applyProtection="1">
      <alignment horizontal="center"/>
    </xf>
    <xf numFmtId="2" fontId="3" fillId="3" borderId="36" xfId="2" applyNumberFormat="1" applyFont="1" applyFill="1" applyBorder="1" applyAlignment="1" applyProtection="1">
      <alignment horizontal="center"/>
    </xf>
    <xf numFmtId="9" fontId="0" fillId="0" borderId="30" xfId="2" applyFont="1" applyFill="1" applyBorder="1" applyAlignment="1" applyProtection="1">
      <alignment horizontal="center"/>
    </xf>
    <xf numFmtId="9" fontId="0" fillId="0" borderId="36" xfId="2" applyFont="1" applyFill="1" applyBorder="1" applyAlignment="1" applyProtection="1">
      <alignment horizontal="center"/>
    </xf>
    <xf numFmtId="2" fontId="3" fillId="0" borderId="4" xfId="0" applyNumberFormat="1" applyFont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2" fontId="0" fillId="2" borderId="18" xfId="0" applyNumberFormat="1" applyFill="1" applyBorder="1" applyAlignment="1">
      <alignment horizontal="center"/>
    </xf>
    <xf numFmtId="2" fontId="0" fillId="2" borderId="68" xfId="0" applyNumberFormat="1" applyFill="1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0" fontId="3" fillId="3" borderId="58" xfId="0" applyFont="1" applyFill="1" applyBorder="1" applyAlignment="1">
      <alignment horizontal="center"/>
    </xf>
    <xf numFmtId="9" fontId="3" fillId="0" borderId="30" xfId="2" applyFont="1" applyFill="1" applyBorder="1" applyAlignment="1" applyProtection="1">
      <alignment horizontal="center"/>
      <protection locked="0"/>
    </xf>
    <xf numFmtId="9" fontId="3" fillId="0" borderId="36" xfId="2" applyFont="1" applyFill="1" applyBorder="1" applyAlignment="1" applyProtection="1">
      <alignment horizontal="center"/>
      <protection locked="0"/>
    </xf>
    <xf numFmtId="2" fontId="3" fillId="3" borderId="30" xfId="0" applyNumberFormat="1" applyFont="1" applyFill="1" applyBorder="1" applyAlignment="1">
      <alignment horizontal="center"/>
    </xf>
    <xf numFmtId="2" fontId="3" fillId="3" borderId="36" xfId="0" applyNumberFormat="1" applyFont="1" applyFill="1" applyBorder="1" applyAlignment="1">
      <alignment horizontal="center"/>
    </xf>
    <xf numFmtId="9" fontId="0" fillId="0" borderId="30" xfId="2" applyFont="1" applyBorder="1" applyAlignment="1" applyProtection="1">
      <alignment horizontal="center"/>
      <protection locked="0"/>
    </xf>
    <xf numFmtId="9" fontId="0" fillId="0" borderId="36" xfId="2" applyFont="1" applyBorder="1" applyAlignment="1" applyProtection="1">
      <alignment horizontal="center"/>
      <protection locked="0"/>
    </xf>
    <xf numFmtId="0" fontId="0" fillId="2" borderId="63" xfId="0" applyFill="1" applyBorder="1" applyAlignment="1">
      <alignment horizontal="center" vertical="center"/>
    </xf>
    <xf numFmtId="0" fontId="0" fillId="2" borderId="67" xfId="0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/>
    </xf>
    <xf numFmtId="0" fontId="2" fillId="4" borderId="52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9" fontId="3" fillId="3" borderId="30" xfId="2" applyFont="1" applyFill="1" applyBorder="1" applyAlignment="1" applyProtection="1">
      <alignment horizontal="center"/>
    </xf>
    <xf numFmtId="9" fontId="3" fillId="3" borderId="36" xfId="2" applyFont="1" applyFill="1" applyBorder="1" applyAlignment="1" applyProtection="1">
      <alignment horizontal="center"/>
    </xf>
    <xf numFmtId="0" fontId="0" fillId="3" borderId="19" xfId="0" applyFill="1" applyBorder="1" applyAlignment="1">
      <alignment horizontal="center"/>
    </xf>
    <xf numFmtId="0" fontId="0" fillId="3" borderId="6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7" xfId="0" applyFill="1" applyBorder="1" applyAlignment="1">
      <alignment horizontal="left"/>
    </xf>
    <xf numFmtId="0" fontId="0" fillId="2" borderId="5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8" borderId="27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7" xfId="0" applyFill="1" applyBorder="1" applyAlignment="1">
      <alignment horizontal="center" vertical="center"/>
    </xf>
  </cellXfs>
  <cellStyles count="3">
    <cellStyle name="Comma 2" xfId="1" xr:uid="{00000000-0005-0000-0000-000000000000}"/>
    <cellStyle name="Normal" xfId="0" builtinId="0"/>
    <cellStyle name="Percent" xfId="2" builtinId="5"/>
  </cellStyles>
  <dxfs count="1">
    <dxf>
      <font>
        <condense val="0"/>
        <extend val="0"/>
        <color indexed="10"/>
      </font>
    </dxf>
  </dxfs>
  <tableStyles count="1" defaultTableStyle="TableStyleMedium9" defaultPivotStyle="PivotStyleLight16">
    <tableStyle name="MySqlDefault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Drop" dropLines="4" dropStyle="combo" dx="31" fmlaLink="Rank_Link" fmlaRange="Rank" sel="1" val="0"/>
</file>

<file path=xl/ctrlProps/ctrlProp2.xml><?xml version="1.0" encoding="utf-8"?>
<formControlPr xmlns="http://schemas.microsoft.com/office/spreadsheetml/2009/9/main" objectType="Drop" dropLines="6" dropStyle="combo" dx="31" fmlaLink="SubRank_Link" fmlaRange="SubRank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63500</xdr:rowOff>
    </xdr:from>
    <xdr:to>
      <xdr:col>4</xdr:col>
      <xdr:colOff>127000</xdr:colOff>
      <xdr:row>5</xdr:row>
      <xdr:rowOff>120650</xdr:rowOff>
    </xdr:to>
    <xdr:pic>
      <xdr:nvPicPr>
        <xdr:cNvPr id="30967" name="Picture 1" descr="CNSCLogo">
          <a:extLst>
            <a:ext uri="{FF2B5EF4-FFF2-40B4-BE49-F238E27FC236}">
              <a16:creationId xmlns:a16="http://schemas.microsoft.com/office/drawing/2014/main" id="{00000000-0008-0000-0000-0000F77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3500"/>
          <a:ext cx="10922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196850</xdr:colOff>
      <xdr:row>1</xdr:row>
      <xdr:rowOff>57150</xdr:rowOff>
    </xdr:from>
    <xdr:to>
      <xdr:col>16</xdr:col>
      <xdr:colOff>139700</xdr:colOff>
      <xdr:row>4</xdr:row>
      <xdr:rowOff>114300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714500" y="219075"/>
          <a:ext cx="3295650" cy="542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Arial"/>
              <a:cs typeface="Arial"/>
            </a:rPr>
            <a:t>Republic of the Philippines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Arial"/>
              <a:cs typeface="Arial"/>
            </a:rPr>
            <a:t>CAMARINES NORTE STATE COLLEGE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Arial"/>
              <a:cs typeface="Arial"/>
            </a:rPr>
            <a:t>Daet, Camarines Norte</a:t>
          </a:r>
        </a:p>
        <a:p>
          <a:pPr algn="ctr" rtl="1">
            <a:defRPr sz="1000"/>
          </a:pPr>
          <a:endParaRPr lang="en-US" sz="1100" b="0" i="0" strike="noStrike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8</xdr:row>
      <xdr:rowOff>165100</xdr:rowOff>
    </xdr:from>
    <xdr:to>
      <xdr:col>10</xdr:col>
      <xdr:colOff>241300</xdr:colOff>
      <xdr:row>8</xdr:row>
      <xdr:rowOff>165100</xdr:rowOff>
    </xdr:to>
    <xdr:sp macro="" textlink="">
      <xdr:nvSpPr>
        <xdr:cNvPr id="30969" name="Line 3">
          <a:extLst>
            <a:ext uri="{FF2B5EF4-FFF2-40B4-BE49-F238E27FC236}">
              <a16:creationId xmlns:a16="http://schemas.microsoft.com/office/drawing/2014/main" id="{00000000-0008-0000-0000-0000F9780000}"/>
            </a:ext>
          </a:extLst>
        </xdr:cNvPr>
        <xdr:cNvSpPr>
          <a:spLocks noChangeShapeType="1"/>
        </xdr:cNvSpPr>
      </xdr:nvSpPr>
      <xdr:spPr bwMode="auto">
        <a:xfrm>
          <a:off x="635000" y="1454150"/>
          <a:ext cx="2781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10</xdr:row>
      <xdr:rowOff>19050</xdr:rowOff>
    </xdr:from>
    <xdr:to>
      <xdr:col>10</xdr:col>
      <xdr:colOff>209550</xdr:colOff>
      <xdr:row>10</xdr:row>
      <xdr:rowOff>19050</xdr:rowOff>
    </xdr:to>
    <xdr:sp macro="" textlink="">
      <xdr:nvSpPr>
        <xdr:cNvPr id="30970" name="Line 4">
          <a:extLst>
            <a:ext uri="{FF2B5EF4-FFF2-40B4-BE49-F238E27FC236}">
              <a16:creationId xmlns:a16="http://schemas.microsoft.com/office/drawing/2014/main" id="{00000000-0008-0000-0000-0000FA780000}"/>
            </a:ext>
          </a:extLst>
        </xdr:cNvPr>
        <xdr:cNvSpPr>
          <a:spLocks noChangeShapeType="1"/>
        </xdr:cNvSpPr>
      </xdr:nvSpPr>
      <xdr:spPr bwMode="auto">
        <a:xfrm>
          <a:off x="622300" y="1663700"/>
          <a:ext cx="2762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8</xdr:row>
      <xdr:rowOff>146050</xdr:rowOff>
    </xdr:from>
    <xdr:to>
      <xdr:col>20</xdr:col>
      <xdr:colOff>127000</xdr:colOff>
      <xdr:row>8</xdr:row>
      <xdr:rowOff>146050</xdr:rowOff>
    </xdr:to>
    <xdr:sp macro="" textlink="">
      <xdr:nvSpPr>
        <xdr:cNvPr id="30971" name="Line 5">
          <a:extLst>
            <a:ext uri="{FF2B5EF4-FFF2-40B4-BE49-F238E27FC236}">
              <a16:creationId xmlns:a16="http://schemas.microsoft.com/office/drawing/2014/main" id="{00000000-0008-0000-0000-0000FB780000}"/>
            </a:ext>
          </a:extLst>
        </xdr:cNvPr>
        <xdr:cNvSpPr>
          <a:spLocks noChangeShapeType="1"/>
        </xdr:cNvSpPr>
      </xdr:nvSpPr>
      <xdr:spPr bwMode="auto">
        <a:xfrm>
          <a:off x="4457700" y="1435100"/>
          <a:ext cx="2019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304800</xdr:colOff>
      <xdr:row>9</xdr:row>
      <xdr:rowOff>165100</xdr:rowOff>
    </xdr:from>
    <xdr:to>
      <xdr:col>20</xdr:col>
      <xdr:colOff>107950</xdr:colOff>
      <xdr:row>9</xdr:row>
      <xdr:rowOff>165100</xdr:rowOff>
    </xdr:to>
    <xdr:sp macro="" textlink="">
      <xdr:nvSpPr>
        <xdr:cNvPr id="30972" name="Line 6">
          <a:extLst>
            <a:ext uri="{FF2B5EF4-FFF2-40B4-BE49-F238E27FC236}">
              <a16:creationId xmlns:a16="http://schemas.microsoft.com/office/drawing/2014/main" id="{00000000-0008-0000-0000-0000FC780000}"/>
            </a:ext>
          </a:extLst>
        </xdr:cNvPr>
        <xdr:cNvSpPr>
          <a:spLocks noChangeShapeType="1"/>
        </xdr:cNvSpPr>
      </xdr:nvSpPr>
      <xdr:spPr bwMode="auto">
        <a:xfrm>
          <a:off x="4432300" y="1631950"/>
          <a:ext cx="2025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14</xdr:row>
      <xdr:rowOff>165100</xdr:rowOff>
    </xdr:from>
    <xdr:to>
      <xdr:col>8</xdr:col>
      <xdr:colOff>285750</xdr:colOff>
      <xdr:row>14</xdr:row>
      <xdr:rowOff>165100</xdr:rowOff>
    </xdr:to>
    <xdr:sp macro="" textlink="">
      <xdr:nvSpPr>
        <xdr:cNvPr id="30973" name="Line 7">
          <a:extLst>
            <a:ext uri="{FF2B5EF4-FFF2-40B4-BE49-F238E27FC236}">
              <a16:creationId xmlns:a16="http://schemas.microsoft.com/office/drawing/2014/main" id="{00000000-0008-0000-0000-0000FD780000}"/>
            </a:ext>
          </a:extLst>
        </xdr:cNvPr>
        <xdr:cNvSpPr>
          <a:spLocks noChangeShapeType="1"/>
        </xdr:cNvSpPr>
      </xdr:nvSpPr>
      <xdr:spPr bwMode="auto">
        <a:xfrm>
          <a:off x="2209800" y="2520950"/>
          <a:ext cx="615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15</xdr:row>
      <xdr:rowOff>165100</xdr:rowOff>
    </xdr:from>
    <xdr:to>
      <xdr:col>8</xdr:col>
      <xdr:colOff>298450</xdr:colOff>
      <xdr:row>15</xdr:row>
      <xdr:rowOff>165100</xdr:rowOff>
    </xdr:to>
    <xdr:sp macro="" textlink="">
      <xdr:nvSpPr>
        <xdr:cNvPr id="30974" name="Line 8">
          <a:extLst>
            <a:ext uri="{FF2B5EF4-FFF2-40B4-BE49-F238E27FC236}">
              <a16:creationId xmlns:a16="http://schemas.microsoft.com/office/drawing/2014/main" id="{00000000-0008-0000-0000-0000FE780000}"/>
            </a:ext>
          </a:extLst>
        </xdr:cNvPr>
        <xdr:cNvSpPr>
          <a:spLocks noChangeShapeType="1"/>
        </xdr:cNvSpPr>
      </xdr:nvSpPr>
      <xdr:spPr bwMode="auto">
        <a:xfrm>
          <a:off x="2222500" y="2698750"/>
          <a:ext cx="615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16</xdr:row>
      <xdr:rowOff>165100</xdr:rowOff>
    </xdr:from>
    <xdr:to>
      <xdr:col>8</xdr:col>
      <xdr:colOff>298450</xdr:colOff>
      <xdr:row>16</xdr:row>
      <xdr:rowOff>165100</xdr:rowOff>
    </xdr:to>
    <xdr:sp macro="" textlink="">
      <xdr:nvSpPr>
        <xdr:cNvPr id="30975" name="Line 9">
          <a:extLst>
            <a:ext uri="{FF2B5EF4-FFF2-40B4-BE49-F238E27FC236}">
              <a16:creationId xmlns:a16="http://schemas.microsoft.com/office/drawing/2014/main" id="{00000000-0008-0000-0000-0000FF780000}"/>
            </a:ext>
          </a:extLst>
        </xdr:cNvPr>
        <xdr:cNvSpPr>
          <a:spLocks noChangeShapeType="1"/>
        </xdr:cNvSpPr>
      </xdr:nvSpPr>
      <xdr:spPr bwMode="auto">
        <a:xfrm>
          <a:off x="2222500" y="2876550"/>
          <a:ext cx="615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17</xdr:row>
      <xdr:rowOff>165100</xdr:rowOff>
    </xdr:from>
    <xdr:to>
      <xdr:col>8</xdr:col>
      <xdr:colOff>298450</xdr:colOff>
      <xdr:row>17</xdr:row>
      <xdr:rowOff>165100</xdr:rowOff>
    </xdr:to>
    <xdr:sp macro="" textlink="">
      <xdr:nvSpPr>
        <xdr:cNvPr id="30976" name="Line 10">
          <a:extLst>
            <a:ext uri="{FF2B5EF4-FFF2-40B4-BE49-F238E27FC236}">
              <a16:creationId xmlns:a16="http://schemas.microsoft.com/office/drawing/2014/main" id="{00000000-0008-0000-0000-000000790000}"/>
            </a:ext>
          </a:extLst>
        </xdr:cNvPr>
        <xdr:cNvSpPr>
          <a:spLocks noChangeShapeType="1"/>
        </xdr:cNvSpPr>
      </xdr:nvSpPr>
      <xdr:spPr bwMode="auto">
        <a:xfrm>
          <a:off x="2222500" y="3054350"/>
          <a:ext cx="615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304800</xdr:colOff>
      <xdr:row>14</xdr:row>
      <xdr:rowOff>165100</xdr:rowOff>
    </xdr:from>
    <xdr:to>
      <xdr:col>20</xdr:col>
      <xdr:colOff>0</xdr:colOff>
      <xdr:row>14</xdr:row>
      <xdr:rowOff>165100</xdr:rowOff>
    </xdr:to>
    <xdr:sp macro="" textlink="">
      <xdr:nvSpPr>
        <xdr:cNvPr id="30977" name="Line 11">
          <a:extLst>
            <a:ext uri="{FF2B5EF4-FFF2-40B4-BE49-F238E27FC236}">
              <a16:creationId xmlns:a16="http://schemas.microsoft.com/office/drawing/2014/main" id="{00000000-0008-0000-0000-000001790000}"/>
            </a:ext>
          </a:extLst>
        </xdr:cNvPr>
        <xdr:cNvSpPr>
          <a:spLocks noChangeShapeType="1"/>
        </xdr:cNvSpPr>
      </xdr:nvSpPr>
      <xdr:spPr bwMode="auto">
        <a:xfrm>
          <a:off x="5702300" y="25209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304800</xdr:colOff>
      <xdr:row>15</xdr:row>
      <xdr:rowOff>165100</xdr:rowOff>
    </xdr:from>
    <xdr:to>
      <xdr:col>20</xdr:col>
      <xdr:colOff>0</xdr:colOff>
      <xdr:row>15</xdr:row>
      <xdr:rowOff>165100</xdr:rowOff>
    </xdr:to>
    <xdr:sp macro="" textlink="">
      <xdr:nvSpPr>
        <xdr:cNvPr id="30978" name="Line 12">
          <a:extLst>
            <a:ext uri="{FF2B5EF4-FFF2-40B4-BE49-F238E27FC236}">
              <a16:creationId xmlns:a16="http://schemas.microsoft.com/office/drawing/2014/main" id="{00000000-0008-0000-0000-000002790000}"/>
            </a:ext>
          </a:extLst>
        </xdr:cNvPr>
        <xdr:cNvSpPr>
          <a:spLocks noChangeShapeType="1"/>
        </xdr:cNvSpPr>
      </xdr:nvSpPr>
      <xdr:spPr bwMode="auto">
        <a:xfrm>
          <a:off x="5702300" y="26987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298450</xdr:colOff>
      <xdr:row>16</xdr:row>
      <xdr:rowOff>165100</xdr:rowOff>
    </xdr:from>
    <xdr:to>
      <xdr:col>19</xdr:col>
      <xdr:colOff>304800</xdr:colOff>
      <xdr:row>16</xdr:row>
      <xdr:rowOff>165100</xdr:rowOff>
    </xdr:to>
    <xdr:sp macro="" textlink="">
      <xdr:nvSpPr>
        <xdr:cNvPr id="30979" name="Line 14">
          <a:extLst>
            <a:ext uri="{FF2B5EF4-FFF2-40B4-BE49-F238E27FC236}">
              <a16:creationId xmlns:a16="http://schemas.microsoft.com/office/drawing/2014/main" id="{00000000-0008-0000-0000-000003790000}"/>
            </a:ext>
          </a:extLst>
        </xdr:cNvPr>
        <xdr:cNvSpPr>
          <a:spLocks noChangeShapeType="1"/>
        </xdr:cNvSpPr>
      </xdr:nvSpPr>
      <xdr:spPr bwMode="auto">
        <a:xfrm>
          <a:off x="5695950" y="2876550"/>
          <a:ext cx="641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17</xdr:row>
      <xdr:rowOff>165100</xdr:rowOff>
    </xdr:from>
    <xdr:to>
      <xdr:col>20</xdr:col>
      <xdr:colOff>12700</xdr:colOff>
      <xdr:row>17</xdr:row>
      <xdr:rowOff>165100</xdr:rowOff>
    </xdr:to>
    <xdr:sp macro="" textlink="">
      <xdr:nvSpPr>
        <xdr:cNvPr id="30980" name="Line 15">
          <a:extLst>
            <a:ext uri="{FF2B5EF4-FFF2-40B4-BE49-F238E27FC236}">
              <a16:creationId xmlns:a16="http://schemas.microsoft.com/office/drawing/2014/main" id="{00000000-0008-0000-0000-000004790000}"/>
            </a:ext>
          </a:extLst>
        </xdr:cNvPr>
        <xdr:cNvSpPr>
          <a:spLocks noChangeShapeType="1"/>
        </xdr:cNvSpPr>
      </xdr:nvSpPr>
      <xdr:spPr bwMode="auto">
        <a:xfrm>
          <a:off x="5715000" y="30543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298450</xdr:colOff>
      <xdr:row>20</xdr:row>
      <xdr:rowOff>0</xdr:rowOff>
    </xdr:to>
    <xdr:sp macro="" textlink="">
      <xdr:nvSpPr>
        <xdr:cNvPr id="30981" name="Line 16">
          <a:extLst>
            <a:ext uri="{FF2B5EF4-FFF2-40B4-BE49-F238E27FC236}">
              <a16:creationId xmlns:a16="http://schemas.microsoft.com/office/drawing/2014/main" id="{00000000-0008-0000-0000-000005790000}"/>
            </a:ext>
          </a:extLst>
        </xdr:cNvPr>
        <xdr:cNvSpPr>
          <a:spLocks noChangeShapeType="1"/>
        </xdr:cNvSpPr>
      </xdr:nvSpPr>
      <xdr:spPr bwMode="auto">
        <a:xfrm>
          <a:off x="2222500" y="3422650"/>
          <a:ext cx="615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298450</xdr:colOff>
      <xdr:row>21</xdr:row>
      <xdr:rowOff>0</xdr:rowOff>
    </xdr:to>
    <xdr:sp macro="" textlink="">
      <xdr:nvSpPr>
        <xdr:cNvPr id="30982" name="Line 17">
          <a:extLst>
            <a:ext uri="{FF2B5EF4-FFF2-40B4-BE49-F238E27FC236}">
              <a16:creationId xmlns:a16="http://schemas.microsoft.com/office/drawing/2014/main" id="{00000000-0008-0000-0000-000006790000}"/>
            </a:ext>
          </a:extLst>
        </xdr:cNvPr>
        <xdr:cNvSpPr>
          <a:spLocks noChangeShapeType="1"/>
        </xdr:cNvSpPr>
      </xdr:nvSpPr>
      <xdr:spPr bwMode="auto">
        <a:xfrm>
          <a:off x="2222500" y="3600450"/>
          <a:ext cx="615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22</xdr:row>
      <xdr:rowOff>0</xdr:rowOff>
    </xdr:from>
    <xdr:to>
      <xdr:col>8</xdr:col>
      <xdr:colOff>298450</xdr:colOff>
      <xdr:row>22</xdr:row>
      <xdr:rowOff>0</xdr:rowOff>
    </xdr:to>
    <xdr:sp macro="" textlink="">
      <xdr:nvSpPr>
        <xdr:cNvPr id="30983" name="Line 18">
          <a:extLst>
            <a:ext uri="{FF2B5EF4-FFF2-40B4-BE49-F238E27FC236}">
              <a16:creationId xmlns:a16="http://schemas.microsoft.com/office/drawing/2014/main" id="{00000000-0008-0000-0000-000007790000}"/>
            </a:ext>
          </a:extLst>
        </xdr:cNvPr>
        <xdr:cNvSpPr>
          <a:spLocks noChangeShapeType="1"/>
        </xdr:cNvSpPr>
      </xdr:nvSpPr>
      <xdr:spPr bwMode="auto">
        <a:xfrm>
          <a:off x="2222500" y="3778250"/>
          <a:ext cx="615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19</xdr:row>
      <xdr:rowOff>165100</xdr:rowOff>
    </xdr:from>
    <xdr:to>
      <xdr:col>13</xdr:col>
      <xdr:colOff>0</xdr:colOff>
      <xdr:row>19</xdr:row>
      <xdr:rowOff>165100</xdr:rowOff>
    </xdr:to>
    <xdr:sp macro="" textlink="">
      <xdr:nvSpPr>
        <xdr:cNvPr id="30984" name="Line 19">
          <a:extLst>
            <a:ext uri="{FF2B5EF4-FFF2-40B4-BE49-F238E27FC236}">
              <a16:creationId xmlns:a16="http://schemas.microsoft.com/office/drawing/2014/main" id="{00000000-0008-0000-0000-000008790000}"/>
            </a:ext>
          </a:extLst>
        </xdr:cNvPr>
        <xdr:cNvSpPr>
          <a:spLocks noChangeShapeType="1"/>
        </xdr:cNvSpPr>
      </xdr:nvSpPr>
      <xdr:spPr bwMode="auto">
        <a:xfrm>
          <a:off x="3175000" y="34099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20</xdr:row>
      <xdr:rowOff>165100</xdr:rowOff>
    </xdr:from>
    <xdr:to>
      <xdr:col>13</xdr:col>
      <xdr:colOff>0</xdr:colOff>
      <xdr:row>20</xdr:row>
      <xdr:rowOff>165100</xdr:rowOff>
    </xdr:to>
    <xdr:sp macro="" textlink="">
      <xdr:nvSpPr>
        <xdr:cNvPr id="30985" name="Line 20">
          <a:extLst>
            <a:ext uri="{FF2B5EF4-FFF2-40B4-BE49-F238E27FC236}">
              <a16:creationId xmlns:a16="http://schemas.microsoft.com/office/drawing/2014/main" id="{00000000-0008-0000-0000-000009790000}"/>
            </a:ext>
          </a:extLst>
        </xdr:cNvPr>
        <xdr:cNvSpPr>
          <a:spLocks noChangeShapeType="1"/>
        </xdr:cNvSpPr>
      </xdr:nvSpPr>
      <xdr:spPr bwMode="auto">
        <a:xfrm>
          <a:off x="3175000" y="35877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22</xdr:row>
      <xdr:rowOff>0</xdr:rowOff>
    </xdr:from>
    <xdr:to>
      <xdr:col>13</xdr:col>
      <xdr:colOff>0</xdr:colOff>
      <xdr:row>22</xdr:row>
      <xdr:rowOff>0</xdr:rowOff>
    </xdr:to>
    <xdr:sp macro="" textlink="">
      <xdr:nvSpPr>
        <xdr:cNvPr id="30986" name="Line 21">
          <a:extLst>
            <a:ext uri="{FF2B5EF4-FFF2-40B4-BE49-F238E27FC236}">
              <a16:creationId xmlns:a16="http://schemas.microsoft.com/office/drawing/2014/main" id="{00000000-0008-0000-0000-00000A790000}"/>
            </a:ext>
          </a:extLst>
        </xdr:cNvPr>
        <xdr:cNvSpPr>
          <a:spLocks noChangeShapeType="1"/>
        </xdr:cNvSpPr>
      </xdr:nvSpPr>
      <xdr:spPr bwMode="auto">
        <a:xfrm>
          <a:off x="3175000" y="37782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12700</xdr:colOff>
      <xdr:row>19</xdr:row>
      <xdr:rowOff>165100</xdr:rowOff>
    </xdr:from>
    <xdr:to>
      <xdr:col>20</xdr:col>
      <xdr:colOff>19050</xdr:colOff>
      <xdr:row>19</xdr:row>
      <xdr:rowOff>165100</xdr:rowOff>
    </xdr:to>
    <xdr:sp macro="" textlink="">
      <xdr:nvSpPr>
        <xdr:cNvPr id="30987" name="Line 22">
          <a:extLst>
            <a:ext uri="{FF2B5EF4-FFF2-40B4-BE49-F238E27FC236}">
              <a16:creationId xmlns:a16="http://schemas.microsoft.com/office/drawing/2014/main" id="{00000000-0008-0000-0000-00000B790000}"/>
            </a:ext>
          </a:extLst>
        </xdr:cNvPr>
        <xdr:cNvSpPr>
          <a:spLocks noChangeShapeType="1"/>
        </xdr:cNvSpPr>
      </xdr:nvSpPr>
      <xdr:spPr bwMode="auto">
        <a:xfrm>
          <a:off x="5727700" y="3409950"/>
          <a:ext cx="641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304800</xdr:colOff>
      <xdr:row>20</xdr:row>
      <xdr:rowOff>165100</xdr:rowOff>
    </xdr:from>
    <xdr:to>
      <xdr:col>20</xdr:col>
      <xdr:colOff>0</xdr:colOff>
      <xdr:row>20</xdr:row>
      <xdr:rowOff>165100</xdr:rowOff>
    </xdr:to>
    <xdr:sp macro="" textlink="">
      <xdr:nvSpPr>
        <xdr:cNvPr id="30988" name="Line 23">
          <a:extLst>
            <a:ext uri="{FF2B5EF4-FFF2-40B4-BE49-F238E27FC236}">
              <a16:creationId xmlns:a16="http://schemas.microsoft.com/office/drawing/2014/main" id="{00000000-0008-0000-0000-00000C790000}"/>
            </a:ext>
          </a:extLst>
        </xdr:cNvPr>
        <xdr:cNvSpPr>
          <a:spLocks noChangeShapeType="1"/>
        </xdr:cNvSpPr>
      </xdr:nvSpPr>
      <xdr:spPr bwMode="auto">
        <a:xfrm>
          <a:off x="5702300" y="35877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304800</xdr:colOff>
      <xdr:row>21</xdr:row>
      <xdr:rowOff>165100</xdr:rowOff>
    </xdr:from>
    <xdr:to>
      <xdr:col>20</xdr:col>
      <xdr:colOff>0</xdr:colOff>
      <xdr:row>21</xdr:row>
      <xdr:rowOff>165100</xdr:rowOff>
    </xdr:to>
    <xdr:sp macro="" textlink="">
      <xdr:nvSpPr>
        <xdr:cNvPr id="30989" name="Line 24">
          <a:extLst>
            <a:ext uri="{FF2B5EF4-FFF2-40B4-BE49-F238E27FC236}">
              <a16:creationId xmlns:a16="http://schemas.microsoft.com/office/drawing/2014/main" id="{00000000-0008-0000-0000-00000D790000}"/>
            </a:ext>
          </a:extLst>
        </xdr:cNvPr>
        <xdr:cNvSpPr>
          <a:spLocks noChangeShapeType="1"/>
        </xdr:cNvSpPr>
      </xdr:nvSpPr>
      <xdr:spPr bwMode="auto">
        <a:xfrm>
          <a:off x="5702300" y="37655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12700</xdr:colOff>
      <xdr:row>25</xdr:row>
      <xdr:rowOff>165100</xdr:rowOff>
    </xdr:from>
    <xdr:to>
      <xdr:col>13</xdr:col>
      <xdr:colOff>12700</xdr:colOff>
      <xdr:row>25</xdr:row>
      <xdr:rowOff>165100</xdr:rowOff>
    </xdr:to>
    <xdr:sp macro="" textlink="">
      <xdr:nvSpPr>
        <xdr:cNvPr id="30990" name="Line 25">
          <a:extLst>
            <a:ext uri="{FF2B5EF4-FFF2-40B4-BE49-F238E27FC236}">
              <a16:creationId xmlns:a16="http://schemas.microsoft.com/office/drawing/2014/main" id="{00000000-0008-0000-0000-00000E790000}"/>
            </a:ext>
          </a:extLst>
        </xdr:cNvPr>
        <xdr:cNvSpPr>
          <a:spLocks noChangeShapeType="1"/>
        </xdr:cNvSpPr>
      </xdr:nvSpPr>
      <xdr:spPr bwMode="auto">
        <a:xfrm>
          <a:off x="3187700" y="44767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304800</xdr:colOff>
      <xdr:row>26</xdr:row>
      <xdr:rowOff>165100</xdr:rowOff>
    </xdr:from>
    <xdr:to>
      <xdr:col>12</xdr:col>
      <xdr:colOff>304800</xdr:colOff>
      <xdr:row>26</xdr:row>
      <xdr:rowOff>165100</xdr:rowOff>
    </xdr:to>
    <xdr:sp macro="" textlink="">
      <xdr:nvSpPr>
        <xdr:cNvPr id="30991" name="Line 26">
          <a:extLst>
            <a:ext uri="{FF2B5EF4-FFF2-40B4-BE49-F238E27FC236}">
              <a16:creationId xmlns:a16="http://schemas.microsoft.com/office/drawing/2014/main" id="{00000000-0008-0000-0000-00000F790000}"/>
            </a:ext>
          </a:extLst>
        </xdr:cNvPr>
        <xdr:cNvSpPr>
          <a:spLocks noChangeShapeType="1"/>
        </xdr:cNvSpPr>
      </xdr:nvSpPr>
      <xdr:spPr bwMode="auto">
        <a:xfrm>
          <a:off x="3162300" y="46545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12700</xdr:colOff>
      <xdr:row>28</xdr:row>
      <xdr:rowOff>0</xdr:rowOff>
    </xdr:from>
    <xdr:to>
      <xdr:col>13</xdr:col>
      <xdr:colOff>12700</xdr:colOff>
      <xdr:row>28</xdr:row>
      <xdr:rowOff>0</xdr:rowOff>
    </xdr:to>
    <xdr:sp macro="" textlink="">
      <xdr:nvSpPr>
        <xdr:cNvPr id="30992" name="Line 27">
          <a:extLst>
            <a:ext uri="{FF2B5EF4-FFF2-40B4-BE49-F238E27FC236}">
              <a16:creationId xmlns:a16="http://schemas.microsoft.com/office/drawing/2014/main" id="{00000000-0008-0000-0000-000010790000}"/>
            </a:ext>
          </a:extLst>
        </xdr:cNvPr>
        <xdr:cNvSpPr>
          <a:spLocks noChangeShapeType="1"/>
        </xdr:cNvSpPr>
      </xdr:nvSpPr>
      <xdr:spPr bwMode="auto">
        <a:xfrm>
          <a:off x="3187700" y="48450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28</xdr:row>
      <xdr:rowOff>165100</xdr:rowOff>
    </xdr:from>
    <xdr:to>
      <xdr:col>13</xdr:col>
      <xdr:colOff>0</xdr:colOff>
      <xdr:row>28</xdr:row>
      <xdr:rowOff>165100</xdr:rowOff>
    </xdr:to>
    <xdr:sp macro="" textlink="">
      <xdr:nvSpPr>
        <xdr:cNvPr id="30993" name="Line 28">
          <a:extLst>
            <a:ext uri="{FF2B5EF4-FFF2-40B4-BE49-F238E27FC236}">
              <a16:creationId xmlns:a16="http://schemas.microsoft.com/office/drawing/2014/main" id="{00000000-0008-0000-0000-000011790000}"/>
            </a:ext>
          </a:extLst>
        </xdr:cNvPr>
        <xdr:cNvSpPr>
          <a:spLocks noChangeShapeType="1"/>
        </xdr:cNvSpPr>
      </xdr:nvSpPr>
      <xdr:spPr bwMode="auto">
        <a:xfrm>
          <a:off x="3175000" y="50101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30</xdr:row>
      <xdr:rowOff>0</xdr:rowOff>
    </xdr:from>
    <xdr:to>
      <xdr:col>13</xdr:col>
      <xdr:colOff>0</xdr:colOff>
      <xdr:row>30</xdr:row>
      <xdr:rowOff>0</xdr:rowOff>
    </xdr:to>
    <xdr:sp macro="" textlink="">
      <xdr:nvSpPr>
        <xdr:cNvPr id="30994" name="Line 29">
          <a:extLst>
            <a:ext uri="{FF2B5EF4-FFF2-40B4-BE49-F238E27FC236}">
              <a16:creationId xmlns:a16="http://schemas.microsoft.com/office/drawing/2014/main" id="{00000000-0008-0000-0000-000012790000}"/>
            </a:ext>
          </a:extLst>
        </xdr:cNvPr>
        <xdr:cNvSpPr>
          <a:spLocks noChangeShapeType="1"/>
        </xdr:cNvSpPr>
      </xdr:nvSpPr>
      <xdr:spPr bwMode="auto">
        <a:xfrm>
          <a:off x="3175000" y="52006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304800</xdr:colOff>
      <xdr:row>30</xdr:row>
      <xdr:rowOff>165100</xdr:rowOff>
    </xdr:from>
    <xdr:to>
      <xdr:col>12</xdr:col>
      <xdr:colOff>304800</xdr:colOff>
      <xdr:row>30</xdr:row>
      <xdr:rowOff>165100</xdr:rowOff>
    </xdr:to>
    <xdr:sp macro="" textlink="">
      <xdr:nvSpPr>
        <xdr:cNvPr id="30995" name="Line 30">
          <a:extLst>
            <a:ext uri="{FF2B5EF4-FFF2-40B4-BE49-F238E27FC236}">
              <a16:creationId xmlns:a16="http://schemas.microsoft.com/office/drawing/2014/main" id="{00000000-0008-0000-0000-000013790000}"/>
            </a:ext>
          </a:extLst>
        </xdr:cNvPr>
        <xdr:cNvSpPr>
          <a:spLocks noChangeShapeType="1"/>
        </xdr:cNvSpPr>
      </xdr:nvSpPr>
      <xdr:spPr bwMode="auto">
        <a:xfrm>
          <a:off x="3162300" y="53657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25</xdr:row>
      <xdr:rowOff>165100</xdr:rowOff>
    </xdr:from>
    <xdr:to>
      <xdr:col>20</xdr:col>
      <xdr:colOff>12700</xdr:colOff>
      <xdr:row>25</xdr:row>
      <xdr:rowOff>165100</xdr:rowOff>
    </xdr:to>
    <xdr:sp macro="" textlink="">
      <xdr:nvSpPr>
        <xdr:cNvPr id="30996" name="Line 31">
          <a:extLst>
            <a:ext uri="{FF2B5EF4-FFF2-40B4-BE49-F238E27FC236}">
              <a16:creationId xmlns:a16="http://schemas.microsoft.com/office/drawing/2014/main" id="{00000000-0008-0000-0000-000014790000}"/>
            </a:ext>
          </a:extLst>
        </xdr:cNvPr>
        <xdr:cNvSpPr>
          <a:spLocks noChangeShapeType="1"/>
        </xdr:cNvSpPr>
      </xdr:nvSpPr>
      <xdr:spPr bwMode="auto">
        <a:xfrm>
          <a:off x="5715000" y="44767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26</xdr:row>
      <xdr:rowOff>165100</xdr:rowOff>
    </xdr:from>
    <xdr:to>
      <xdr:col>20</xdr:col>
      <xdr:colOff>12700</xdr:colOff>
      <xdr:row>26</xdr:row>
      <xdr:rowOff>165100</xdr:rowOff>
    </xdr:to>
    <xdr:sp macro="" textlink="">
      <xdr:nvSpPr>
        <xdr:cNvPr id="30997" name="Line 32">
          <a:extLst>
            <a:ext uri="{FF2B5EF4-FFF2-40B4-BE49-F238E27FC236}">
              <a16:creationId xmlns:a16="http://schemas.microsoft.com/office/drawing/2014/main" id="{00000000-0008-0000-0000-000015790000}"/>
            </a:ext>
          </a:extLst>
        </xdr:cNvPr>
        <xdr:cNvSpPr>
          <a:spLocks noChangeShapeType="1"/>
        </xdr:cNvSpPr>
      </xdr:nvSpPr>
      <xdr:spPr bwMode="auto">
        <a:xfrm>
          <a:off x="5715000" y="46545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298450</xdr:colOff>
      <xdr:row>27</xdr:row>
      <xdr:rowOff>165100</xdr:rowOff>
    </xdr:from>
    <xdr:to>
      <xdr:col>19</xdr:col>
      <xdr:colOff>304800</xdr:colOff>
      <xdr:row>27</xdr:row>
      <xdr:rowOff>165100</xdr:rowOff>
    </xdr:to>
    <xdr:sp macro="" textlink="">
      <xdr:nvSpPr>
        <xdr:cNvPr id="30998" name="Line 33">
          <a:extLst>
            <a:ext uri="{FF2B5EF4-FFF2-40B4-BE49-F238E27FC236}">
              <a16:creationId xmlns:a16="http://schemas.microsoft.com/office/drawing/2014/main" id="{00000000-0008-0000-0000-000016790000}"/>
            </a:ext>
          </a:extLst>
        </xdr:cNvPr>
        <xdr:cNvSpPr>
          <a:spLocks noChangeShapeType="1"/>
        </xdr:cNvSpPr>
      </xdr:nvSpPr>
      <xdr:spPr bwMode="auto">
        <a:xfrm>
          <a:off x="5695950" y="4832350"/>
          <a:ext cx="641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28</xdr:row>
      <xdr:rowOff>165100</xdr:rowOff>
    </xdr:from>
    <xdr:to>
      <xdr:col>20</xdr:col>
      <xdr:colOff>12700</xdr:colOff>
      <xdr:row>28</xdr:row>
      <xdr:rowOff>165100</xdr:rowOff>
    </xdr:to>
    <xdr:sp macro="" textlink="">
      <xdr:nvSpPr>
        <xdr:cNvPr id="30999" name="Line 34">
          <a:extLst>
            <a:ext uri="{FF2B5EF4-FFF2-40B4-BE49-F238E27FC236}">
              <a16:creationId xmlns:a16="http://schemas.microsoft.com/office/drawing/2014/main" id="{00000000-0008-0000-0000-000017790000}"/>
            </a:ext>
          </a:extLst>
        </xdr:cNvPr>
        <xdr:cNvSpPr>
          <a:spLocks noChangeShapeType="1"/>
        </xdr:cNvSpPr>
      </xdr:nvSpPr>
      <xdr:spPr bwMode="auto">
        <a:xfrm>
          <a:off x="5715000" y="50101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29</xdr:row>
      <xdr:rowOff>165100</xdr:rowOff>
    </xdr:from>
    <xdr:to>
      <xdr:col>20</xdr:col>
      <xdr:colOff>12700</xdr:colOff>
      <xdr:row>29</xdr:row>
      <xdr:rowOff>165100</xdr:rowOff>
    </xdr:to>
    <xdr:sp macro="" textlink="">
      <xdr:nvSpPr>
        <xdr:cNvPr id="31000" name="Line 35">
          <a:extLst>
            <a:ext uri="{FF2B5EF4-FFF2-40B4-BE49-F238E27FC236}">
              <a16:creationId xmlns:a16="http://schemas.microsoft.com/office/drawing/2014/main" id="{00000000-0008-0000-0000-000018790000}"/>
            </a:ext>
          </a:extLst>
        </xdr:cNvPr>
        <xdr:cNvSpPr>
          <a:spLocks noChangeShapeType="1"/>
        </xdr:cNvSpPr>
      </xdr:nvSpPr>
      <xdr:spPr bwMode="auto">
        <a:xfrm>
          <a:off x="5715000" y="51879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30</xdr:row>
      <xdr:rowOff>165100</xdr:rowOff>
    </xdr:from>
    <xdr:to>
      <xdr:col>20</xdr:col>
      <xdr:colOff>12700</xdr:colOff>
      <xdr:row>30</xdr:row>
      <xdr:rowOff>165100</xdr:rowOff>
    </xdr:to>
    <xdr:sp macro="" textlink="">
      <xdr:nvSpPr>
        <xdr:cNvPr id="31001" name="Line 36">
          <a:extLst>
            <a:ext uri="{FF2B5EF4-FFF2-40B4-BE49-F238E27FC236}">
              <a16:creationId xmlns:a16="http://schemas.microsoft.com/office/drawing/2014/main" id="{00000000-0008-0000-0000-000019790000}"/>
            </a:ext>
          </a:extLst>
        </xdr:cNvPr>
        <xdr:cNvSpPr>
          <a:spLocks noChangeShapeType="1"/>
        </xdr:cNvSpPr>
      </xdr:nvSpPr>
      <xdr:spPr bwMode="auto">
        <a:xfrm>
          <a:off x="5715000" y="53657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304800</xdr:colOff>
      <xdr:row>36</xdr:row>
      <xdr:rowOff>165100</xdr:rowOff>
    </xdr:from>
    <xdr:to>
      <xdr:col>20</xdr:col>
      <xdr:colOff>0</xdr:colOff>
      <xdr:row>36</xdr:row>
      <xdr:rowOff>165100</xdr:rowOff>
    </xdr:to>
    <xdr:sp macro="" textlink="">
      <xdr:nvSpPr>
        <xdr:cNvPr id="31002" name="Line 37">
          <a:extLst>
            <a:ext uri="{FF2B5EF4-FFF2-40B4-BE49-F238E27FC236}">
              <a16:creationId xmlns:a16="http://schemas.microsoft.com/office/drawing/2014/main" id="{00000000-0008-0000-0000-00001A790000}"/>
            </a:ext>
          </a:extLst>
        </xdr:cNvPr>
        <xdr:cNvSpPr>
          <a:spLocks noChangeShapeType="1"/>
        </xdr:cNvSpPr>
      </xdr:nvSpPr>
      <xdr:spPr bwMode="auto">
        <a:xfrm>
          <a:off x="5702300" y="64325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37</xdr:row>
      <xdr:rowOff>165100</xdr:rowOff>
    </xdr:from>
    <xdr:to>
      <xdr:col>20</xdr:col>
      <xdr:colOff>12700</xdr:colOff>
      <xdr:row>37</xdr:row>
      <xdr:rowOff>165100</xdr:rowOff>
    </xdr:to>
    <xdr:sp macro="" textlink="">
      <xdr:nvSpPr>
        <xdr:cNvPr id="31003" name="Line 38">
          <a:extLst>
            <a:ext uri="{FF2B5EF4-FFF2-40B4-BE49-F238E27FC236}">
              <a16:creationId xmlns:a16="http://schemas.microsoft.com/office/drawing/2014/main" id="{00000000-0008-0000-0000-00001B790000}"/>
            </a:ext>
          </a:extLst>
        </xdr:cNvPr>
        <xdr:cNvSpPr>
          <a:spLocks noChangeShapeType="1"/>
        </xdr:cNvSpPr>
      </xdr:nvSpPr>
      <xdr:spPr bwMode="auto">
        <a:xfrm>
          <a:off x="5715000" y="66103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12700</xdr:colOff>
      <xdr:row>38</xdr:row>
      <xdr:rowOff>165100</xdr:rowOff>
    </xdr:from>
    <xdr:to>
      <xdr:col>20</xdr:col>
      <xdr:colOff>19050</xdr:colOff>
      <xdr:row>38</xdr:row>
      <xdr:rowOff>165100</xdr:rowOff>
    </xdr:to>
    <xdr:sp macro="" textlink="">
      <xdr:nvSpPr>
        <xdr:cNvPr id="31004" name="Line 39">
          <a:extLst>
            <a:ext uri="{FF2B5EF4-FFF2-40B4-BE49-F238E27FC236}">
              <a16:creationId xmlns:a16="http://schemas.microsoft.com/office/drawing/2014/main" id="{00000000-0008-0000-0000-00001C790000}"/>
            </a:ext>
          </a:extLst>
        </xdr:cNvPr>
        <xdr:cNvSpPr>
          <a:spLocks noChangeShapeType="1"/>
        </xdr:cNvSpPr>
      </xdr:nvSpPr>
      <xdr:spPr bwMode="auto">
        <a:xfrm>
          <a:off x="5727700" y="6788150"/>
          <a:ext cx="641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14</xdr:row>
      <xdr:rowOff>165100</xdr:rowOff>
    </xdr:from>
    <xdr:to>
      <xdr:col>13</xdr:col>
      <xdr:colOff>0</xdr:colOff>
      <xdr:row>14</xdr:row>
      <xdr:rowOff>165100</xdr:rowOff>
    </xdr:to>
    <xdr:sp macro="" textlink="">
      <xdr:nvSpPr>
        <xdr:cNvPr id="31005" name="Line 40">
          <a:extLst>
            <a:ext uri="{FF2B5EF4-FFF2-40B4-BE49-F238E27FC236}">
              <a16:creationId xmlns:a16="http://schemas.microsoft.com/office/drawing/2014/main" id="{00000000-0008-0000-0000-00001D790000}"/>
            </a:ext>
          </a:extLst>
        </xdr:cNvPr>
        <xdr:cNvSpPr>
          <a:spLocks noChangeShapeType="1"/>
        </xdr:cNvSpPr>
      </xdr:nvSpPr>
      <xdr:spPr bwMode="auto">
        <a:xfrm>
          <a:off x="3175000" y="25209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15</xdr:row>
      <xdr:rowOff>165100</xdr:rowOff>
    </xdr:from>
    <xdr:to>
      <xdr:col>13</xdr:col>
      <xdr:colOff>0</xdr:colOff>
      <xdr:row>15</xdr:row>
      <xdr:rowOff>165100</xdr:rowOff>
    </xdr:to>
    <xdr:sp macro="" textlink="">
      <xdr:nvSpPr>
        <xdr:cNvPr id="31006" name="Line 41">
          <a:extLst>
            <a:ext uri="{FF2B5EF4-FFF2-40B4-BE49-F238E27FC236}">
              <a16:creationId xmlns:a16="http://schemas.microsoft.com/office/drawing/2014/main" id="{00000000-0008-0000-0000-00001E790000}"/>
            </a:ext>
          </a:extLst>
        </xdr:cNvPr>
        <xdr:cNvSpPr>
          <a:spLocks noChangeShapeType="1"/>
        </xdr:cNvSpPr>
      </xdr:nvSpPr>
      <xdr:spPr bwMode="auto">
        <a:xfrm>
          <a:off x="3175000" y="26987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16</xdr:row>
      <xdr:rowOff>165100</xdr:rowOff>
    </xdr:from>
    <xdr:to>
      <xdr:col>13</xdr:col>
      <xdr:colOff>0</xdr:colOff>
      <xdr:row>16</xdr:row>
      <xdr:rowOff>165100</xdr:rowOff>
    </xdr:to>
    <xdr:sp macro="" textlink="">
      <xdr:nvSpPr>
        <xdr:cNvPr id="31007" name="Line 42">
          <a:extLst>
            <a:ext uri="{FF2B5EF4-FFF2-40B4-BE49-F238E27FC236}">
              <a16:creationId xmlns:a16="http://schemas.microsoft.com/office/drawing/2014/main" id="{00000000-0008-0000-0000-00001F790000}"/>
            </a:ext>
          </a:extLst>
        </xdr:cNvPr>
        <xdr:cNvSpPr>
          <a:spLocks noChangeShapeType="1"/>
        </xdr:cNvSpPr>
      </xdr:nvSpPr>
      <xdr:spPr bwMode="auto">
        <a:xfrm>
          <a:off x="3175000" y="28765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</xdr:row>
      <xdr:rowOff>165100</xdr:rowOff>
    </xdr:from>
    <xdr:to>
      <xdr:col>13</xdr:col>
      <xdr:colOff>0</xdr:colOff>
      <xdr:row>17</xdr:row>
      <xdr:rowOff>165100</xdr:rowOff>
    </xdr:to>
    <xdr:sp macro="" textlink="">
      <xdr:nvSpPr>
        <xdr:cNvPr id="31008" name="Line 43">
          <a:extLst>
            <a:ext uri="{FF2B5EF4-FFF2-40B4-BE49-F238E27FC236}">
              <a16:creationId xmlns:a16="http://schemas.microsoft.com/office/drawing/2014/main" id="{00000000-0008-0000-0000-000020790000}"/>
            </a:ext>
          </a:extLst>
        </xdr:cNvPr>
        <xdr:cNvSpPr>
          <a:spLocks noChangeShapeType="1"/>
        </xdr:cNvSpPr>
      </xdr:nvSpPr>
      <xdr:spPr bwMode="auto">
        <a:xfrm>
          <a:off x="3175000" y="30543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36</xdr:row>
      <xdr:rowOff>0</xdr:rowOff>
    </xdr:from>
    <xdr:to>
      <xdr:col>20</xdr:col>
      <xdr:colOff>12700</xdr:colOff>
      <xdr:row>36</xdr:row>
      <xdr:rowOff>0</xdr:rowOff>
    </xdr:to>
    <xdr:sp macro="" textlink="">
      <xdr:nvSpPr>
        <xdr:cNvPr id="31009" name="Line 44">
          <a:extLst>
            <a:ext uri="{FF2B5EF4-FFF2-40B4-BE49-F238E27FC236}">
              <a16:creationId xmlns:a16="http://schemas.microsoft.com/office/drawing/2014/main" id="{00000000-0008-0000-0000-000021790000}"/>
            </a:ext>
          </a:extLst>
        </xdr:cNvPr>
        <xdr:cNvSpPr>
          <a:spLocks noChangeShapeType="1"/>
        </xdr:cNvSpPr>
      </xdr:nvSpPr>
      <xdr:spPr bwMode="auto">
        <a:xfrm>
          <a:off x="5715000" y="6267450"/>
          <a:ext cx="647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15</xdr:row>
      <xdr:rowOff>165100</xdr:rowOff>
    </xdr:from>
    <xdr:to>
      <xdr:col>13</xdr:col>
      <xdr:colOff>0</xdr:colOff>
      <xdr:row>15</xdr:row>
      <xdr:rowOff>165100</xdr:rowOff>
    </xdr:to>
    <xdr:sp macro="" textlink="">
      <xdr:nvSpPr>
        <xdr:cNvPr id="31010" name="Line 46">
          <a:extLst>
            <a:ext uri="{FF2B5EF4-FFF2-40B4-BE49-F238E27FC236}">
              <a16:creationId xmlns:a16="http://schemas.microsoft.com/office/drawing/2014/main" id="{00000000-0008-0000-0000-000022790000}"/>
            </a:ext>
          </a:extLst>
        </xdr:cNvPr>
        <xdr:cNvSpPr>
          <a:spLocks noChangeShapeType="1"/>
        </xdr:cNvSpPr>
      </xdr:nvSpPr>
      <xdr:spPr bwMode="auto">
        <a:xfrm>
          <a:off x="3175000" y="26987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16</xdr:row>
      <xdr:rowOff>165100</xdr:rowOff>
    </xdr:from>
    <xdr:to>
      <xdr:col>13</xdr:col>
      <xdr:colOff>0</xdr:colOff>
      <xdr:row>16</xdr:row>
      <xdr:rowOff>165100</xdr:rowOff>
    </xdr:to>
    <xdr:sp macro="" textlink="">
      <xdr:nvSpPr>
        <xdr:cNvPr id="31011" name="Line 47">
          <a:extLst>
            <a:ext uri="{FF2B5EF4-FFF2-40B4-BE49-F238E27FC236}">
              <a16:creationId xmlns:a16="http://schemas.microsoft.com/office/drawing/2014/main" id="{00000000-0008-0000-0000-000023790000}"/>
            </a:ext>
          </a:extLst>
        </xdr:cNvPr>
        <xdr:cNvSpPr>
          <a:spLocks noChangeShapeType="1"/>
        </xdr:cNvSpPr>
      </xdr:nvSpPr>
      <xdr:spPr bwMode="auto">
        <a:xfrm>
          <a:off x="3175000" y="28765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</xdr:row>
      <xdr:rowOff>165100</xdr:rowOff>
    </xdr:from>
    <xdr:to>
      <xdr:col>13</xdr:col>
      <xdr:colOff>0</xdr:colOff>
      <xdr:row>17</xdr:row>
      <xdr:rowOff>165100</xdr:rowOff>
    </xdr:to>
    <xdr:sp macro="" textlink="">
      <xdr:nvSpPr>
        <xdr:cNvPr id="31012" name="Line 48">
          <a:extLst>
            <a:ext uri="{FF2B5EF4-FFF2-40B4-BE49-F238E27FC236}">
              <a16:creationId xmlns:a16="http://schemas.microsoft.com/office/drawing/2014/main" id="{00000000-0008-0000-0000-000024790000}"/>
            </a:ext>
          </a:extLst>
        </xdr:cNvPr>
        <xdr:cNvSpPr>
          <a:spLocks noChangeShapeType="1"/>
        </xdr:cNvSpPr>
      </xdr:nvSpPr>
      <xdr:spPr bwMode="auto">
        <a:xfrm>
          <a:off x="3175000" y="305435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14</xdr:row>
          <xdr:rowOff>142875</xdr:rowOff>
        </xdr:from>
        <xdr:to>
          <xdr:col>4</xdr:col>
          <xdr:colOff>9525</xdr:colOff>
          <xdr:row>16</xdr:row>
          <xdr:rowOff>28575</xdr:rowOff>
        </xdr:to>
        <xdr:sp macro="" textlink="">
          <xdr:nvSpPr>
            <xdr:cNvPr id="17414" name="Drop Down 6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00000000-0008-0000-0100-00000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16</xdr:row>
          <xdr:rowOff>104775</xdr:rowOff>
        </xdr:from>
        <xdr:to>
          <xdr:col>4</xdr:col>
          <xdr:colOff>28575</xdr:colOff>
          <xdr:row>17</xdr:row>
          <xdr:rowOff>142875</xdr:rowOff>
        </xdr:to>
        <xdr:sp macro="" textlink="">
          <xdr:nvSpPr>
            <xdr:cNvPr id="17415" name="Drop Down 7" hidden="1">
              <a:extLst>
                <a:ext uri="{63B3BB69-23CF-44E3-9099-C40C66FF867C}">
                  <a14:compatExt spid="_x0000_s17415"/>
                </a:ext>
                <a:ext uri="{FF2B5EF4-FFF2-40B4-BE49-F238E27FC236}">
                  <a16:creationId xmlns:a16="http://schemas.microsoft.com/office/drawing/2014/main" id="{00000000-0008-0000-0100-00000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7:Y92"/>
  <sheetViews>
    <sheetView tabSelected="1" view="pageBreakPreview" zoomScale="99" zoomScaleNormal="115" zoomScaleSheetLayoutView="99" workbookViewId="0">
      <selection activeCell="AA29" sqref="AA24:AA29"/>
    </sheetView>
  </sheetViews>
  <sheetFormatPr defaultRowHeight="12.75" x14ac:dyDescent="0.2"/>
  <cols>
    <col min="1" max="23" width="4.5703125" customWidth="1"/>
    <col min="24" max="24" width="7.85546875" customWidth="1"/>
    <col min="25" max="25" width="9.140625" customWidth="1"/>
    <col min="26" max="32" width="4.5703125" customWidth="1"/>
  </cols>
  <sheetData>
    <row r="7" spans="1:24" ht="15" x14ac:dyDescent="0.25">
      <c r="A7" s="343" t="s">
        <v>217</v>
      </c>
      <c r="B7" s="343"/>
      <c r="C7" s="343"/>
      <c r="D7" s="343"/>
      <c r="E7" s="343"/>
      <c r="F7" s="343"/>
      <c r="G7" s="343"/>
      <c r="H7" s="343"/>
      <c r="I7" s="343"/>
      <c r="J7" s="343"/>
      <c r="K7" s="343"/>
      <c r="L7" s="343"/>
      <c r="M7" s="343"/>
      <c r="N7" s="343"/>
      <c r="O7" s="343"/>
      <c r="P7" s="343"/>
      <c r="Q7" s="343"/>
      <c r="R7" s="343"/>
      <c r="S7" s="343"/>
      <c r="T7" s="343"/>
      <c r="U7" s="343"/>
    </row>
    <row r="8" spans="1:24" x14ac:dyDescent="0.2">
      <c r="A8" s="161"/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</row>
    <row r="9" spans="1:24" ht="14.1" customHeight="1" x14ac:dyDescent="0.3">
      <c r="A9" s="161" t="s">
        <v>142</v>
      </c>
      <c r="B9" s="161"/>
      <c r="C9" s="313" t="str">
        <f>TI!DC6</f>
        <v xml:space="preserve">,  </v>
      </c>
      <c r="D9" s="161"/>
      <c r="E9" s="161"/>
      <c r="F9" s="161"/>
      <c r="G9" s="161"/>
      <c r="H9" s="161"/>
      <c r="I9" s="161"/>
      <c r="J9" s="161"/>
      <c r="K9" s="161"/>
      <c r="L9" s="161" t="s">
        <v>4</v>
      </c>
      <c r="M9" s="161"/>
      <c r="N9" s="161"/>
      <c r="O9" s="161">
        <f>Entry!D7</f>
        <v>0</v>
      </c>
      <c r="P9" s="161"/>
      <c r="Q9" s="161"/>
      <c r="R9" s="161"/>
      <c r="S9" s="161"/>
      <c r="T9" s="161"/>
      <c r="U9" s="161"/>
    </row>
    <row r="10" spans="1:24" ht="14.1" customHeight="1" x14ac:dyDescent="0.2">
      <c r="A10" s="161" t="s">
        <v>143</v>
      </c>
      <c r="B10" s="161"/>
      <c r="C10" s="161">
        <f>Entry!D19</f>
        <v>0</v>
      </c>
      <c r="D10" s="161"/>
      <c r="E10" s="161"/>
      <c r="F10" s="161"/>
      <c r="G10" s="161"/>
      <c r="H10" s="161"/>
      <c r="I10" s="161"/>
      <c r="J10" s="161"/>
      <c r="K10" s="161"/>
      <c r="L10" s="161" t="s">
        <v>144</v>
      </c>
      <c r="M10" s="161"/>
      <c r="N10" s="161"/>
      <c r="O10" s="161">
        <f>Entry!D20</f>
        <v>0</v>
      </c>
      <c r="P10" s="161"/>
      <c r="Q10" s="161"/>
      <c r="R10" s="161"/>
      <c r="S10" s="161"/>
      <c r="T10" s="161"/>
      <c r="U10" s="161"/>
    </row>
    <row r="11" spans="1:24" ht="14.1" customHeight="1" x14ac:dyDescent="0.2">
      <c r="A11" s="161"/>
      <c r="B11" s="161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</row>
    <row r="12" spans="1:24" ht="14.1" customHeight="1" x14ac:dyDescent="0.2">
      <c r="A12" s="161" t="s">
        <v>218</v>
      </c>
      <c r="B12" s="161"/>
      <c r="C12" s="161"/>
      <c r="D12" s="161"/>
      <c r="E12" s="161"/>
      <c r="F12" s="161"/>
      <c r="G12" s="161"/>
      <c r="H12" s="344" t="s">
        <v>35</v>
      </c>
      <c r="I12" s="344"/>
      <c r="J12" s="161"/>
      <c r="K12" s="344" t="s">
        <v>35</v>
      </c>
      <c r="L12" s="344"/>
      <c r="M12" s="344"/>
      <c r="N12" s="314"/>
      <c r="O12" s="344" t="s">
        <v>35</v>
      </c>
      <c r="P12" s="344"/>
      <c r="Q12" s="344"/>
      <c r="R12" s="161"/>
      <c r="S12" s="344" t="s">
        <v>146</v>
      </c>
      <c r="T12" s="344"/>
      <c r="U12" s="161"/>
    </row>
    <row r="13" spans="1:24" ht="14.1" customHeight="1" x14ac:dyDescent="0.2">
      <c r="A13" s="161"/>
      <c r="B13" s="161"/>
      <c r="C13" s="161"/>
      <c r="D13" s="161"/>
      <c r="E13" s="161"/>
      <c r="F13" s="161"/>
      <c r="G13" s="161"/>
      <c r="H13" s="161"/>
      <c r="I13" s="161"/>
      <c r="J13" s="161"/>
      <c r="K13" s="344" t="s">
        <v>147</v>
      </c>
      <c r="L13" s="344"/>
      <c r="M13" s="344"/>
      <c r="N13" s="314"/>
      <c r="O13" s="344" t="s">
        <v>148</v>
      </c>
      <c r="P13" s="344"/>
      <c r="Q13" s="344"/>
      <c r="R13" s="161"/>
      <c r="S13" s="344" t="s">
        <v>149</v>
      </c>
      <c r="T13" s="344"/>
      <c r="U13" s="161"/>
    </row>
    <row r="14" spans="1:24" ht="14.1" customHeight="1" x14ac:dyDescent="0.2">
      <c r="A14" s="105" t="s">
        <v>219</v>
      </c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</row>
    <row r="15" spans="1:24" ht="14.1" customHeight="1" x14ac:dyDescent="0.2">
      <c r="A15" s="315" t="s">
        <v>220</v>
      </c>
      <c r="B15" s="161" t="s">
        <v>221</v>
      </c>
      <c r="C15" s="161"/>
      <c r="D15" s="161"/>
      <c r="E15" s="161"/>
      <c r="F15" s="161"/>
      <c r="G15" s="161"/>
      <c r="H15" s="345" t="e">
        <f>TI!DJ36</f>
        <v>#DIV/0!</v>
      </c>
      <c r="I15" s="344"/>
      <c r="J15" s="161"/>
      <c r="K15" s="345" t="e">
        <f>H15*0.1</f>
        <v>#DIV/0!</v>
      </c>
      <c r="L15" s="345"/>
      <c r="M15" s="345"/>
      <c r="N15" s="161"/>
      <c r="O15" s="346">
        <v>0.2</v>
      </c>
      <c r="P15" s="346"/>
      <c r="Q15" s="346"/>
      <c r="R15" s="161"/>
      <c r="S15" s="347" t="e">
        <f>K15*0.2</f>
        <v>#DIV/0!</v>
      </c>
      <c r="T15" s="347"/>
      <c r="U15" s="161"/>
      <c r="X15" s="198"/>
    </row>
    <row r="16" spans="1:24" ht="14.1" customHeight="1" x14ac:dyDescent="0.2">
      <c r="A16" s="315" t="s">
        <v>222</v>
      </c>
      <c r="B16" s="161" t="s">
        <v>223</v>
      </c>
      <c r="C16" s="161"/>
      <c r="D16" s="161"/>
      <c r="E16" s="161"/>
      <c r="F16" s="161"/>
      <c r="G16" s="161"/>
      <c r="H16" s="345" t="e">
        <f>TI!MO36</f>
        <v>#DIV/0!</v>
      </c>
      <c r="I16" s="344"/>
      <c r="J16" s="161"/>
      <c r="K16" s="345" t="e">
        <f>H16*0.1</f>
        <v>#DIV/0!</v>
      </c>
      <c r="L16" s="345"/>
      <c r="M16" s="345"/>
      <c r="N16" s="161"/>
      <c r="O16" s="346">
        <v>0.1</v>
      </c>
      <c r="P16" s="346"/>
      <c r="Q16" s="346"/>
      <c r="R16" s="161"/>
      <c r="S16" s="345" t="e">
        <f>K16*0.1</f>
        <v>#DIV/0!</v>
      </c>
      <c r="T16" s="345"/>
      <c r="U16" s="161"/>
      <c r="X16" s="198"/>
    </row>
    <row r="17" spans="1:25" ht="14.1" customHeight="1" x14ac:dyDescent="0.2">
      <c r="A17" s="315" t="s">
        <v>224</v>
      </c>
      <c r="B17" s="161" t="s">
        <v>225</v>
      </c>
      <c r="C17" s="161"/>
      <c r="D17" s="161"/>
      <c r="E17" s="161"/>
      <c r="F17" s="161"/>
      <c r="G17" s="161"/>
      <c r="H17" s="345">
        <f>TI!U69</f>
        <v>0</v>
      </c>
      <c r="I17" s="344"/>
      <c r="J17" s="161"/>
      <c r="K17" s="345">
        <f>H17*0.1</f>
        <v>0</v>
      </c>
      <c r="L17" s="345"/>
      <c r="M17" s="345"/>
      <c r="N17" s="161"/>
      <c r="O17" s="346">
        <v>0.15</v>
      </c>
      <c r="P17" s="346"/>
      <c r="Q17" s="346"/>
      <c r="R17" s="161"/>
      <c r="S17" s="345">
        <f>K17*0.15</f>
        <v>0</v>
      </c>
      <c r="T17" s="345"/>
      <c r="U17" s="161"/>
      <c r="Y17" s="316"/>
    </row>
    <row r="18" spans="1:25" ht="14.1" customHeight="1" x14ac:dyDescent="0.2">
      <c r="A18" s="315" t="s">
        <v>226</v>
      </c>
      <c r="B18" s="161" t="s">
        <v>227</v>
      </c>
      <c r="C18" s="161"/>
      <c r="D18" s="161"/>
      <c r="E18" s="161"/>
      <c r="F18" s="161"/>
      <c r="G18" s="161"/>
      <c r="H18" s="345">
        <f>TI!I69</f>
        <v>0</v>
      </c>
      <c r="I18" s="344"/>
      <c r="J18" s="161"/>
      <c r="K18" s="345">
        <f>H18*0.1</f>
        <v>0</v>
      </c>
      <c r="L18" s="345"/>
      <c r="M18" s="345"/>
      <c r="N18" s="161"/>
      <c r="O18" s="346">
        <v>0.1</v>
      </c>
      <c r="P18" s="346"/>
      <c r="Q18" s="346"/>
      <c r="R18" s="161"/>
      <c r="S18" s="345">
        <f>K18*0.1</f>
        <v>0</v>
      </c>
      <c r="T18" s="345"/>
      <c r="U18" s="161"/>
    </row>
    <row r="19" spans="1:25" ht="14.1" customHeight="1" x14ac:dyDescent="0.2">
      <c r="A19" s="161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</row>
    <row r="20" spans="1:25" ht="14.1" customHeight="1" x14ac:dyDescent="0.2">
      <c r="A20" s="105" t="s">
        <v>154</v>
      </c>
      <c r="B20" s="161"/>
      <c r="C20" s="161"/>
      <c r="D20" s="161"/>
      <c r="E20" s="161"/>
      <c r="F20" s="161"/>
      <c r="G20" s="161"/>
      <c r="H20" s="344"/>
      <c r="I20" s="344"/>
      <c r="J20" s="161"/>
      <c r="K20" s="344"/>
      <c r="L20" s="344"/>
      <c r="M20" s="344"/>
      <c r="N20" s="161"/>
      <c r="O20" s="346">
        <v>0.05</v>
      </c>
      <c r="P20" s="346"/>
      <c r="Q20" s="346"/>
      <c r="R20" s="161"/>
      <c r="S20" s="344"/>
      <c r="T20" s="344"/>
      <c r="U20" s="161"/>
    </row>
    <row r="21" spans="1:25" ht="14.1" customHeight="1" x14ac:dyDescent="0.2">
      <c r="A21" s="15" t="s">
        <v>155</v>
      </c>
      <c r="B21" s="161"/>
      <c r="C21" s="161"/>
      <c r="D21" s="161"/>
      <c r="E21" s="161"/>
      <c r="F21" s="161"/>
      <c r="G21" s="161"/>
      <c r="H21" s="344"/>
      <c r="I21" s="344"/>
      <c r="J21" s="161"/>
      <c r="K21" s="344"/>
      <c r="L21" s="344"/>
      <c r="M21" s="344"/>
      <c r="N21" s="161"/>
      <c r="O21" s="346">
        <v>0.05</v>
      </c>
      <c r="P21" s="346"/>
      <c r="Q21" s="346"/>
      <c r="R21" s="161"/>
      <c r="S21" s="344"/>
      <c r="T21" s="344"/>
      <c r="U21" s="161"/>
    </row>
    <row r="22" spans="1:25" ht="14.1" customHeight="1" x14ac:dyDescent="0.2">
      <c r="A22" s="105" t="s">
        <v>156</v>
      </c>
      <c r="B22" s="161"/>
      <c r="C22" s="161"/>
      <c r="D22" s="161"/>
      <c r="E22" s="161"/>
      <c r="F22" s="161"/>
      <c r="G22" s="161"/>
      <c r="H22" s="344"/>
      <c r="I22" s="344"/>
      <c r="J22" s="161"/>
      <c r="K22" s="344"/>
      <c r="L22" s="344"/>
      <c r="M22" s="344"/>
      <c r="N22" s="161"/>
      <c r="O22" s="346">
        <v>0.05</v>
      </c>
      <c r="P22" s="346"/>
      <c r="Q22" s="346"/>
      <c r="R22" s="161"/>
      <c r="S22" s="344"/>
      <c r="T22" s="344"/>
      <c r="U22" s="161"/>
    </row>
    <row r="23" spans="1:25" ht="14.1" customHeight="1" x14ac:dyDescent="0.2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X23" s="317"/>
    </row>
    <row r="24" spans="1:25" ht="14.1" customHeight="1" x14ac:dyDescent="0.2">
      <c r="A24" s="105" t="s">
        <v>228</v>
      </c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X24" s="317"/>
    </row>
    <row r="25" spans="1:25" ht="14.1" customHeight="1" x14ac:dyDescent="0.2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X25" s="317"/>
    </row>
    <row r="26" spans="1:25" ht="14.1" customHeight="1" x14ac:dyDescent="0.2">
      <c r="A26" s="161" t="s">
        <v>158</v>
      </c>
      <c r="B26" s="161"/>
      <c r="C26" s="161"/>
      <c r="D26" s="161"/>
      <c r="E26" s="161"/>
      <c r="F26" s="161"/>
      <c r="G26" s="161"/>
      <c r="H26" s="161"/>
      <c r="I26" s="161"/>
      <c r="J26" s="161"/>
      <c r="K26" s="344">
        <v>10</v>
      </c>
      <c r="L26" s="344"/>
      <c r="M26" s="344"/>
      <c r="N26" s="161"/>
      <c r="O26" s="348">
        <v>7.4999999999999997E-2</v>
      </c>
      <c r="P26" s="348"/>
      <c r="Q26" s="348"/>
      <c r="R26" s="161"/>
      <c r="S26" s="344">
        <f>K26*0.075</f>
        <v>0.75</v>
      </c>
      <c r="T26" s="344"/>
      <c r="U26" s="161"/>
      <c r="X26" s="317"/>
    </row>
    <row r="27" spans="1:25" ht="14.1" customHeight="1" x14ac:dyDescent="0.2">
      <c r="A27" s="161" t="s">
        <v>159</v>
      </c>
      <c r="B27" s="161"/>
      <c r="C27" s="161"/>
      <c r="D27" s="161"/>
      <c r="E27" s="161"/>
      <c r="F27" s="161"/>
      <c r="G27" s="161"/>
      <c r="H27" s="161"/>
      <c r="I27" s="161"/>
      <c r="J27" s="161"/>
      <c r="K27" s="344">
        <v>10</v>
      </c>
      <c r="L27" s="344"/>
      <c r="M27" s="344"/>
      <c r="N27" s="161"/>
      <c r="O27" s="348">
        <v>7.4999999999999997E-2</v>
      </c>
      <c r="P27" s="348"/>
      <c r="Q27" s="348"/>
      <c r="R27" s="161"/>
      <c r="S27" s="344">
        <f>K27*0.075</f>
        <v>0.75</v>
      </c>
      <c r="T27" s="344"/>
      <c r="U27" s="161"/>
      <c r="X27" s="318"/>
    </row>
    <row r="28" spans="1:25" ht="14.1" customHeight="1" x14ac:dyDescent="0.2">
      <c r="A28" s="161" t="s">
        <v>160</v>
      </c>
      <c r="B28" s="161"/>
      <c r="C28" s="161"/>
      <c r="D28" s="161"/>
      <c r="E28" s="161"/>
      <c r="F28" s="161"/>
      <c r="G28" s="161"/>
      <c r="H28" s="161"/>
      <c r="I28" s="161"/>
      <c r="J28" s="161"/>
      <c r="K28" s="344">
        <v>8</v>
      </c>
      <c r="L28" s="344"/>
      <c r="M28" s="344"/>
      <c r="N28" s="161"/>
      <c r="O28" s="348">
        <v>7.4999999999999997E-2</v>
      </c>
      <c r="P28" s="348"/>
      <c r="Q28" s="348"/>
      <c r="R28" s="161"/>
      <c r="S28" s="344">
        <f>K28*0.075</f>
        <v>0.6</v>
      </c>
      <c r="T28" s="344"/>
      <c r="U28" s="161"/>
      <c r="X28" s="317"/>
    </row>
    <row r="29" spans="1:25" ht="14.1" customHeight="1" x14ac:dyDescent="0.2">
      <c r="A29" s="161" t="s">
        <v>229</v>
      </c>
      <c r="B29" s="161"/>
      <c r="C29" s="161"/>
      <c r="D29" s="161"/>
      <c r="E29" s="161"/>
      <c r="F29" s="161"/>
      <c r="G29" s="161"/>
      <c r="H29" s="161"/>
      <c r="I29" s="161"/>
      <c r="J29" s="161"/>
      <c r="K29" s="344">
        <v>10</v>
      </c>
      <c r="L29" s="344"/>
      <c r="M29" s="344"/>
      <c r="N29" s="161"/>
      <c r="O29" s="348">
        <v>7.4999999999999997E-2</v>
      </c>
      <c r="P29" s="348"/>
      <c r="Q29" s="348"/>
      <c r="R29" s="161"/>
      <c r="S29" s="344">
        <f>K29*0.075</f>
        <v>0.75</v>
      </c>
      <c r="T29" s="344"/>
      <c r="U29" s="161"/>
      <c r="X29" s="317"/>
    </row>
    <row r="30" spans="1:25" ht="14.1" customHeight="1" x14ac:dyDescent="0.2">
      <c r="A30" s="161" t="s">
        <v>230</v>
      </c>
      <c r="B30" s="161"/>
      <c r="C30" s="161"/>
      <c r="D30" s="161"/>
      <c r="E30" s="161"/>
      <c r="F30" s="161"/>
      <c r="G30" s="161"/>
      <c r="H30" s="161"/>
      <c r="I30" s="161"/>
      <c r="J30" s="161"/>
      <c r="K30" s="344"/>
      <c r="L30" s="344"/>
      <c r="M30" s="344"/>
      <c r="N30" s="161"/>
      <c r="O30" s="346">
        <v>0.05</v>
      </c>
      <c r="P30" s="346"/>
      <c r="Q30" s="346"/>
      <c r="R30" s="161"/>
      <c r="S30" s="344"/>
      <c r="T30" s="344"/>
      <c r="U30" s="161"/>
      <c r="X30" s="317"/>
    </row>
    <row r="31" spans="1:25" ht="14.1" customHeight="1" x14ac:dyDescent="0.2">
      <c r="A31" s="161" t="s">
        <v>231</v>
      </c>
      <c r="B31" s="161"/>
      <c r="C31" s="161"/>
      <c r="D31" s="161"/>
      <c r="E31" s="161"/>
      <c r="F31" s="161"/>
      <c r="G31" s="161"/>
      <c r="H31" s="161"/>
      <c r="I31" s="161"/>
      <c r="J31" s="161"/>
      <c r="K31" s="344"/>
      <c r="L31" s="344"/>
      <c r="M31" s="344"/>
      <c r="N31" s="161"/>
      <c r="O31" s="346">
        <v>0.05</v>
      </c>
      <c r="P31" s="346"/>
      <c r="Q31" s="346"/>
      <c r="R31" s="161"/>
      <c r="S31" s="344"/>
      <c r="T31" s="344"/>
      <c r="U31" s="161"/>
      <c r="X31" s="317"/>
    </row>
    <row r="32" spans="1:25" ht="14.1" customHeight="1" x14ac:dyDescent="0.2">
      <c r="A32" s="161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X32" s="317"/>
    </row>
    <row r="33" spans="1:21" ht="14.1" customHeight="1" x14ac:dyDescent="0.2">
      <c r="A33" s="161" t="s">
        <v>232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</row>
    <row r="34" spans="1:21" ht="14.1" customHeight="1" x14ac:dyDescent="0.2">
      <c r="A34" s="161" t="s">
        <v>233</v>
      </c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</row>
    <row r="35" spans="1:21" ht="14.1" customHeight="1" x14ac:dyDescent="0.2">
      <c r="A35" s="161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</row>
    <row r="36" spans="1:21" ht="14.1" customHeight="1" x14ac:dyDescent="0.2">
      <c r="A36" s="105" t="s">
        <v>234</v>
      </c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345"/>
      <c r="T36" s="345"/>
      <c r="U36" s="161"/>
    </row>
    <row r="37" spans="1:21" ht="14.1" customHeight="1" x14ac:dyDescent="0.2">
      <c r="A37" s="161"/>
      <c r="B37" s="161"/>
      <c r="C37" s="161"/>
      <c r="D37" s="161"/>
      <c r="E37" s="161"/>
      <c r="F37" s="161"/>
      <c r="G37" s="161"/>
      <c r="H37" s="161"/>
      <c r="I37" s="161"/>
      <c r="J37" s="161"/>
      <c r="K37" s="161" t="s">
        <v>166</v>
      </c>
      <c r="L37" s="161"/>
      <c r="M37" s="161"/>
      <c r="N37" s="161"/>
      <c r="O37" s="161"/>
      <c r="P37" s="161"/>
      <c r="Q37" s="161"/>
      <c r="R37" s="161"/>
      <c r="S37" s="349" t="e">
        <f>SUM(S15:T36)</f>
        <v>#DIV/0!</v>
      </c>
      <c r="T37" s="350"/>
      <c r="U37" s="161"/>
    </row>
    <row r="38" spans="1:21" ht="14.1" customHeight="1" x14ac:dyDescent="0.2">
      <c r="A38" s="161"/>
      <c r="B38" s="161"/>
      <c r="C38" s="161"/>
      <c r="D38" s="161"/>
      <c r="E38" s="161"/>
      <c r="F38" s="161"/>
      <c r="G38" s="161"/>
      <c r="H38" s="161"/>
      <c r="I38" s="161"/>
      <c r="J38" s="161"/>
      <c r="K38" s="161" t="s">
        <v>167</v>
      </c>
      <c r="L38" s="161"/>
      <c r="M38" s="161"/>
      <c r="N38" s="161"/>
      <c r="O38" s="161"/>
      <c r="P38" s="161"/>
      <c r="Q38" s="161"/>
      <c r="R38" s="161"/>
      <c r="S38" s="351" t="e">
        <f>S37</f>
        <v>#DIV/0!</v>
      </c>
      <c r="T38" s="351"/>
      <c r="U38" s="161"/>
    </row>
    <row r="39" spans="1:21" ht="14.1" customHeight="1" x14ac:dyDescent="0.2">
      <c r="A39" s="161"/>
      <c r="B39" s="161"/>
      <c r="C39" s="161"/>
      <c r="D39" s="161"/>
      <c r="E39" s="161"/>
      <c r="F39" s="161"/>
      <c r="G39" s="161"/>
      <c r="H39" s="161"/>
      <c r="I39" s="161"/>
      <c r="J39" s="161"/>
      <c r="K39" s="161" t="s">
        <v>168</v>
      </c>
      <c r="L39" s="161"/>
      <c r="M39" s="161"/>
      <c r="N39" s="161"/>
      <c r="O39" s="161"/>
      <c r="P39" s="161"/>
      <c r="Q39" s="161"/>
      <c r="R39" s="161"/>
      <c r="S39" s="350" t="s">
        <v>235</v>
      </c>
      <c r="T39" s="350"/>
      <c r="U39" s="161"/>
    </row>
    <row r="40" spans="1:21" ht="14.1" customHeight="1" x14ac:dyDescent="0.2">
      <c r="A40" s="105" t="s">
        <v>169</v>
      </c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</row>
    <row r="41" spans="1:21" ht="14.1" customHeight="1" x14ac:dyDescent="0.2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</row>
    <row r="42" spans="1:21" ht="14.1" customHeight="1" x14ac:dyDescent="0.2">
      <c r="A42" s="161"/>
      <c r="B42" s="161"/>
      <c r="C42" s="161" t="s">
        <v>236</v>
      </c>
      <c r="D42" s="161"/>
      <c r="E42" s="161"/>
      <c r="F42" s="161"/>
      <c r="G42" s="161"/>
      <c r="H42" s="161"/>
      <c r="I42" s="161"/>
      <c r="J42" s="161"/>
      <c r="K42" s="161"/>
      <c r="L42" s="161"/>
      <c r="M42" s="161" t="s">
        <v>181</v>
      </c>
      <c r="N42" s="161"/>
      <c r="O42" s="161"/>
      <c r="P42" s="161"/>
      <c r="Q42" s="161"/>
      <c r="R42" s="161"/>
      <c r="S42" s="161"/>
      <c r="T42" s="161"/>
      <c r="U42" s="161"/>
    </row>
    <row r="43" spans="1:21" ht="14.1" customHeight="1" x14ac:dyDescent="0.2">
      <c r="A43" s="161"/>
      <c r="B43" s="161"/>
      <c r="C43" s="161" t="s">
        <v>237</v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</row>
    <row r="44" spans="1:21" ht="14.1" customHeight="1" x14ac:dyDescent="0.2">
      <c r="A44" s="161"/>
      <c r="B44" s="161"/>
      <c r="C44" s="161" t="s">
        <v>238</v>
      </c>
      <c r="D44" s="161"/>
      <c r="E44" s="161"/>
      <c r="F44" s="161"/>
      <c r="G44" s="161"/>
      <c r="H44" s="161"/>
      <c r="I44" s="161"/>
      <c r="J44" s="161"/>
      <c r="K44" s="161"/>
      <c r="L44" s="161"/>
      <c r="M44" s="352" t="str">
        <f>TI!DC6</f>
        <v xml:space="preserve">,  </v>
      </c>
      <c r="N44" s="352"/>
      <c r="O44" s="352"/>
      <c r="P44" s="352"/>
      <c r="Q44" s="352"/>
      <c r="R44" s="352"/>
      <c r="S44" s="352"/>
      <c r="T44" s="161"/>
      <c r="U44" s="161"/>
    </row>
    <row r="45" spans="1:21" ht="14.1" customHeight="1" x14ac:dyDescent="0.2">
      <c r="A45" s="161"/>
      <c r="B45" s="161"/>
      <c r="C45" s="161" t="s">
        <v>239</v>
      </c>
      <c r="D45" s="161"/>
      <c r="E45" s="161"/>
      <c r="F45" s="161"/>
      <c r="G45" s="161"/>
      <c r="H45" s="161"/>
      <c r="I45" s="161"/>
      <c r="J45" s="161"/>
      <c r="K45" s="161"/>
      <c r="L45" s="161"/>
      <c r="M45" s="344" t="s">
        <v>240</v>
      </c>
      <c r="N45" s="344"/>
      <c r="O45" s="344"/>
      <c r="P45" s="344"/>
      <c r="Q45" s="344"/>
      <c r="R45" s="344"/>
      <c r="S45" s="344"/>
      <c r="T45" s="161"/>
      <c r="U45" s="161"/>
    </row>
    <row r="46" spans="1:21" ht="14.1" customHeight="1" x14ac:dyDescent="0.2">
      <c r="A46" s="161"/>
      <c r="B46" s="161"/>
      <c r="C46" s="161" t="s">
        <v>241</v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</row>
    <row r="47" spans="1:21" ht="14.1" customHeight="1" x14ac:dyDescent="0.2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</row>
    <row r="48" spans="1:21" ht="14.1" customHeight="1" x14ac:dyDescent="0.2">
      <c r="A48" s="161" t="s">
        <v>180</v>
      </c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</row>
    <row r="49" spans="1:21" ht="14.1" customHeight="1" x14ac:dyDescent="0.2">
      <c r="A49" s="161" t="s">
        <v>242</v>
      </c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352" t="str">
        <f>Entry!D23</f>
        <v>DANIEL E. MALIGAT, JR., DIT</v>
      </c>
      <c r="N49" s="352"/>
      <c r="O49" s="352"/>
      <c r="P49" s="352"/>
      <c r="Q49" s="352"/>
      <c r="R49" s="352"/>
      <c r="S49" s="352"/>
      <c r="T49" s="161"/>
      <c r="U49" s="161"/>
    </row>
    <row r="50" spans="1:21" ht="14.1" customHeight="1" x14ac:dyDescent="0.2">
      <c r="A50" s="161" t="s">
        <v>242</v>
      </c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344" t="s">
        <v>243</v>
      </c>
      <c r="N50" s="344"/>
      <c r="O50" s="344"/>
      <c r="P50" s="344"/>
      <c r="Q50" s="344"/>
      <c r="R50" s="344"/>
      <c r="S50" s="344"/>
      <c r="T50" s="161"/>
      <c r="U50" s="161"/>
    </row>
    <row r="51" spans="1:21" ht="14.1" customHeight="1" x14ac:dyDescent="0.2">
      <c r="A51" s="161" t="s">
        <v>242</v>
      </c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</row>
    <row r="52" spans="1:21" ht="14.1" customHeight="1" x14ac:dyDescent="0.2">
      <c r="A52" s="161" t="s">
        <v>244</v>
      </c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</row>
    <row r="53" spans="1:21" ht="14.1" customHeight="1" x14ac:dyDescent="0.2">
      <c r="A53" s="161" t="s">
        <v>242</v>
      </c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352" t="s">
        <v>247</v>
      </c>
      <c r="M53" s="352"/>
      <c r="N53" s="352"/>
      <c r="O53" s="352"/>
      <c r="P53" s="352"/>
      <c r="Q53" s="352"/>
      <c r="R53" s="352"/>
      <c r="S53" s="352"/>
      <c r="T53" s="352"/>
      <c r="U53" s="161"/>
    </row>
    <row r="54" spans="1:21" ht="14.1" customHeight="1" x14ac:dyDescent="0.2">
      <c r="A54" s="161" t="s">
        <v>242</v>
      </c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342" t="s">
        <v>245</v>
      </c>
      <c r="M54" s="342"/>
      <c r="N54" s="342"/>
      <c r="O54" s="342"/>
      <c r="P54" s="342"/>
      <c r="Q54" s="342"/>
      <c r="R54" s="342"/>
      <c r="S54" s="342"/>
      <c r="T54" s="342"/>
      <c r="U54" s="161"/>
    </row>
    <row r="55" spans="1:21" ht="14.1" customHeight="1" x14ac:dyDescent="0.2">
      <c r="A55" s="161" t="s">
        <v>242</v>
      </c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</row>
    <row r="56" spans="1:21" ht="10.5" customHeight="1" x14ac:dyDescent="0.2">
      <c r="A56" s="319" t="s">
        <v>246</v>
      </c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</row>
    <row r="57" spans="1:21" ht="14.1" customHeight="1" x14ac:dyDescent="0.2">
      <c r="A57" s="319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</row>
    <row r="58" spans="1:21" ht="14.1" customHeight="1" x14ac:dyDescent="0.2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</row>
    <row r="59" spans="1:21" ht="14.1" customHeight="1" x14ac:dyDescent="0.2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</row>
    <row r="60" spans="1:21" ht="14.1" customHeight="1" x14ac:dyDescent="0.2">
      <c r="A60" s="320"/>
      <c r="B60" s="320"/>
      <c r="C60" s="320"/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</row>
    <row r="61" spans="1:21" ht="14.1" customHeight="1" x14ac:dyDescent="0.2">
      <c r="A61" s="320"/>
      <c r="B61" s="32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</row>
    <row r="62" spans="1:21" ht="14.1" customHeight="1" x14ac:dyDescent="0.2">
      <c r="A62" s="320"/>
      <c r="B62" s="32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</row>
    <row r="63" spans="1:21" ht="14.1" customHeight="1" x14ac:dyDescent="0.2">
      <c r="A63" s="320"/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20"/>
      <c r="Q63" s="320"/>
      <c r="R63" s="320"/>
      <c r="S63" s="320"/>
      <c r="T63" s="320"/>
      <c r="U63" s="320"/>
    </row>
    <row r="64" spans="1:21" ht="14.1" customHeight="1" x14ac:dyDescent="0.2"/>
    <row r="65" ht="14.1" customHeight="1" x14ac:dyDescent="0.2"/>
    <row r="66" ht="14.1" customHeight="1" x14ac:dyDescent="0.2"/>
    <row r="67" ht="14.1" customHeight="1" x14ac:dyDescent="0.2"/>
    <row r="68" ht="14.1" customHeight="1" x14ac:dyDescent="0.2"/>
    <row r="69" ht="14.1" customHeight="1" x14ac:dyDescent="0.2"/>
    <row r="70" ht="14.1" customHeight="1" x14ac:dyDescent="0.2"/>
    <row r="71" ht="14.1" customHeight="1" x14ac:dyDescent="0.2"/>
    <row r="72" ht="14.1" customHeight="1" x14ac:dyDescent="0.2"/>
    <row r="73" ht="14.1" customHeight="1" x14ac:dyDescent="0.2"/>
    <row r="74" ht="14.1" customHeight="1" x14ac:dyDescent="0.2"/>
    <row r="75" ht="14.1" customHeight="1" x14ac:dyDescent="0.2"/>
    <row r="76" ht="14.1" customHeight="1" x14ac:dyDescent="0.2"/>
    <row r="77" ht="14.1" customHeight="1" x14ac:dyDescent="0.2"/>
    <row r="78" ht="14.1" customHeight="1" x14ac:dyDescent="0.2"/>
    <row r="79" ht="14.1" customHeight="1" x14ac:dyDescent="0.2"/>
    <row r="80" ht="14.1" customHeight="1" x14ac:dyDescent="0.2"/>
    <row r="81" ht="14.1" customHeight="1" x14ac:dyDescent="0.2"/>
    <row r="82" ht="14.1" customHeight="1" x14ac:dyDescent="0.2"/>
    <row r="83" ht="14.1" customHeight="1" x14ac:dyDescent="0.2"/>
    <row r="84" ht="14.1" customHeight="1" x14ac:dyDescent="0.2"/>
    <row r="85" ht="14.1" customHeight="1" x14ac:dyDescent="0.2"/>
    <row r="86" ht="14.1" customHeight="1" x14ac:dyDescent="0.2"/>
    <row r="87" ht="14.1" customHeight="1" x14ac:dyDescent="0.2"/>
    <row r="88" ht="14.1" customHeight="1" x14ac:dyDescent="0.2"/>
    <row r="89" ht="14.1" customHeight="1" x14ac:dyDescent="0.2"/>
    <row r="90" ht="14.1" customHeight="1" x14ac:dyDescent="0.2"/>
    <row r="91" ht="14.1" customHeight="1" x14ac:dyDescent="0.2"/>
    <row r="92" ht="14.1" customHeight="1" x14ac:dyDescent="0.2"/>
  </sheetData>
  <mergeCells count="64">
    <mergeCell ref="S36:T36"/>
    <mergeCell ref="S37:T37"/>
    <mergeCell ref="S38:T38"/>
    <mergeCell ref="L53:T53"/>
    <mergeCell ref="S39:T39"/>
    <mergeCell ref="M49:S49"/>
    <mergeCell ref="M44:S44"/>
    <mergeCell ref="M45:S45"/>
    <mergeCell ref="M50:S50"/>
    <mergeCell ref="K30:M30"/>
    <mergeCell ref="O30:Q30"/>
    <mergeCell ref="S30:T30"/>
    <mergeCell ref="K31:M31"/>
    <mergeCell ref="O31:Q31"/>
    <mergeCell ref="S31:T31"/>
    <mergeCell ref="K28:M28"/>
    <mergeCell ref="O28:Q28"/>
    <mergeCell ref="S28:T28"/>
    <mergeCell ref="K29:M29"/>
    <mergeCell ref="O29:Q29"/>
    <mergeCell ref="S29:T29"/>
    <mergeCell ref="K26:M26"/>
    <mergeCell ref="O26:Q26"/>
    <mergeCell ref="S26:T26"/>
    <mergeCell ref="K27:M27"/>
    <mergeCell ref="O27:Q27"/>
    <mergeCell ref="S27:T27"/>
    <mergeCell ref="H21:I21"/>
    <mergeCell ref="K21:M21"/>
    <mergeCell ref="O21:Q21"/>
    <mergeCell ref="S21:T21"/>
    <mergeCell ref="H22:I22"/>
    <mergeCell ref="K22:M22"/>
    <mergeCell ref="O22:Q22"/>
    <mergeCell ref="S22:T22"/>
    <mergeCell ref="H18:I18"/>
    <mergeCell ref="K18:M18"/>
    <mergeCell ref="O18:Q18"/>
    <mergeCell ref="S18:T18"/>
    <mergeCell ref="H20:I20"/>
    <mergeCell ref="K20:M20"/>
    <mergeCell ref="O20:Q20"/>
    <mergeCell ref="S20:T20"/>
    <mergeCell ref="S16:T16"/>
    <mergeCell ref="H17:I17"/>
    <mergeCell ref="K17:M17"/>
    <mergeCell ref="O17:Q17"/>
    <mergeCell ref="S17:T17"/>
    <mergeCell ref="L54:T54"/>
    <mergeCell ref="A7:U7"/>
    <mergeCell ref="H12:I12"/>
    <mergeCell ref="K12:M12"/>
    <mergeCell ref="O12:Q12"/>
    <mergeCell ref="S12:T12"/>
    <mergeCell ref="K13:M13"/>
    <mergeCell ref="O13:Q13"/>
    <mergeCell ref="S13:T13"/>
    <mergeCell ref="H15:I15"/>
    <mergeCell ref="K15:M15"/>
    <mergeCell ref="O15:Q15"/>
    <mergeCell ref="S15:T15"/>
    <mergeCell ref="H16:I16"/>
    <mergeCell ref="K16:M16"/>
    <mergeCell ref="O16:Q16"/>
  </mergeCells>
  <printOptions horizontalCentered="1"/>
  <pageMargins left="0.5" right="0.5" top="1" bottom="0.5" header="0.5" footer="0.5"/>
  <pageSetup paperSize="14" fitToHeight="0" orientation="portrait" horizontalDpi="120" verticalDpi="7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>
    <tabColor indexed="11"/>
  </sheetPr>
  <dimension ref="A1:F65"/>
  <sheetViews>
    <sheetView workbookViewId="0">
      <selection activeCell="D24" sqref="D24"/>
    </sheetView>
  </sheetViews>
  <sheetFormatPr defaultRowHeight="12.75" x14ac:dyDescent="0.2"/>
  <cols>
    <col min="2" max="2" width="17.140625" bestFit="1" customWidth="1"/>
    <col min="3" max="3" width="1.85546875" customWidth="1"/>
    <col min="4" max="4" width="29.5703125" customWidth="1"/>
  </cols>
  <sheetData>
    <row r="1" spans="1:6" x14ac:dyDescent="0.2">
      <c r="B1" s="353" t="s">
        <v>0</v>
      </c>
      <c r="C1" s="353"/>
      <c r="D1" s="353"/>
      <c r="E1" s="353"/>
      <c r="F1" s="353"/>
    </row>
    <row r="2" spans="1:6" x14ac:dyDescent="0.2">
      <c r="A2" s="273" t="s">
        <v>186</v>
      </c>
      <c r="B2" s="353" t="s">
        <v>1</v>
      </c>
      <c r="C2" s="353"/>
      <c r="D2" s="353"/>
      <c r="E2" s="353"/>
      <c r="F2" s="353"/>
    </row>
    <row r="3" spans="1:6" x14ac:dyDescent="0.2">
      <c r="A3" s="274">
        <v>38873</v>
      </c>
      <c r="B3" s="353" t="s">
        <v>2</v>
      </c>
      <c r="C3" s="353"/>
      <c r="D3" s="353"/>
      <c r="E3" s="353"/>
      <c r="F3" s="353"/>
    </row>
    <row r="4" spans="1:6" x14ac:dyDescent="0.2">
      <c r="A4" s="273" t="s">
        <v>206</v>
      </c>
      <c r="B4" s="1"/>
      <c r="C4" s="1"/>
      <c r="D4" s="1"/>
      <c r="E4" s="1"/>
    </row>
    <row r="5" spans="1:6" x14ac:dyDescent="0.2">
      <c r="B5" s="1"/>
      <c r="C5" s="1"/>
      <c r="D5" s="1"/>
      <c r="E5" s="1"/>
    </row>
    <row r="7" spans="1:6" x14ac:dyDescent="0.2">
      <c r="B7" t="s">
        <v>42</v>
      </c>
      <c r="D7" s="340"/>
    </row>
    <row r="12" spans="1:6" x14ac:dyDescent="0.2">
      <c r="B12" s="67" t="s">
        <v>195</v>
      </c>
      <c r="D12" s="312"/>
    </row>
    <row r="13" spans="1:6" x14ac:dyDescent="0.2">
      <c r="B13" s="67" t="s">
        <v>196</v>
      </c>
      <c r="D13" s="321"/>
    </row>
    <row r="14" spans="1:6" x14ac:dyDescent="0.2">
      <c r="B14" s="67" t="s">
        <v>197</v>
      </c>
      <c r="D14" s="321"/>
    </row>
    <row r="16" spans="1:6" x14ac:dyDescent="0.2">
      <c r="B16" s="67" t="s">
        <v>198</v>
      </c>
      <c r="D16" s="267"/>
    </row>
    <row r="17" spans="2:4" x14ac:dyDescent="0.2">
      <c r="B17" s="67"/>
      <c r="D17" s="267"/>
    </row>
    <row r="18" spans="2:4" x14ac:dyDescent="0.2">
      <c r="B18" s="67" t="s">
        <v>201</v>
      </c>
      <c r="D18" s="266"/>
    </row>
    <row r="19" spans="2:4" x14ac:dyDescent="0.2">
      <c r="B19" s="67" t="s">
        <v>207</v>
      </c>
      <c r="D19" s="341"/>
    </row>
    <row r="20" spans="2:4" x14ac:dyDescent="0.2">
      <c r="B20" s="67" t="s">
        <v>118</v>
      </c>
      <c r="D20" s="321"/>
    </row>
    <row r="23" spans="2:4" x14ac:dyDescent="0.2">
      <c r="B23" s="67" t="s">
        <v>199</v>
      </c>
      <c r="D23" s="312" t="s">
        <v>248</v>
      </c>
    </row>
    <row r="24" spans="2:4" x14ac:dyDescent="0.2">
      <c r="B24" s="67" t="s">
        <v>200</v>
      </c>
      <c r="D24" s="341" t="s">
        <v>249</v>
      </c>
    </row>
    <row r="31" spans="2:4" x14ac:dyDescent="0.2">
      <c r="B31" s="67" t="s">
        <v>203</v>
      </c>
      <c r="D31" s="40" t="s">
        <v>204</v>
      </c>
    </row>
    <row r="32" spans="2:4" x14ac:dyDescent="0.2">
      <c r="D32" s="40" t="s">
        <v>205</v>
      </c>
    </row>
    <row r="33" spans="4:4" x14ac:dyDescent="0.2">
      <c r="D33" s="40"/>
    </row>
    <row r="34" spans="4:4" x14ac:dyDescent="0.2">
      <c r="D34" s="40"/>
    </row>
    <row r="35" spans="4:4" x14ac:dyDescent="0.2">
      <c r="D35" s="40"/>
    </row>
    <row r="36" spans="4:4" x14ac:dyDescent="0.2">
      <c r="D36" s="40"/>
    </row>
    <row r="37" spans="4:4" x14ac:dyDescent="0.2">
      <c r="D37" s="40"/>
    </row>
    <row r="38" spans="4:4" x14ac:dyDescent="0.2">
      <c r="D38" s="40"/>
    </row>
    <row r="39" spans="4:4" x14ac:dyDescent="0.2">
      <c r="D39" s="40"/>
    </row>
    <row r="40" spans="4:4" x14ac:dyDescent="0.2">
      <c r="D40" s="40"/>
    </row>
    <row r="41" spans="4:4" x14ac:dyDescent="0.2">
      <c r="D41" s="40"/>
    </row>
    <row r="42" spans="4:4" x14ac:dyDescent="0.2">
      <c r="D42" s="40"/>
    </row>
    <row r="43" spans="4:4" x14ac:dyDescent="0.2">
      <c r="D43" s="40"/>
    </row>
    <row r="44" spans="4:4" x14ac:dyDescent="0.2">
      <c r="D44" s="40"/>
    </row>
    <row r="45" spans="4:4" x14ac:dyDescent="0.2">
      <c r="D45" s="40"/>
    </row>
    <row r="46" spans="4:4" x14ac:dyDescent="0.2">
      <c r="D46" s="40"/>
    </row>
    <row r="47" spans="4:4" x14ac:dyDescent="0.2">
      <c r="D47" s="40"/>
    </row>
    <row r="48" spans="4:4" x14ac:dyDescent="0.2">
      <c r="D48" s="40"/>
    </row>
    <row r="49" spans="4:4" x14ac:dyDescent="0.2">
      <c r="D49" s="40"/>
    </row>
    <row r="50" spans="4:4" x14ac:dyDescent="0.2">
      <c r="D50" s="40"/>
    </row>
    <row r="51" spans="4:4" x14ac:dyDescent="0.2">
      <c r="D51" s="40"/>
    </row>
    <row r="52" spans="4:4" x14ac:dyDescent="0.2">
      <c r="D52" s="40"/>
    </row>
    <row r="53" spans="4:4" x14ac:dyDescent="0.2">
      <c r="D53" s="40"/>
    </row>
    <row r="54" spans="4:4" x14ac:dyDescent="0.2">
      <c r="D54" s="40"/>
    </row>
    <row r="55" spans="4:4" x14ac:dyDescent="0.2">
      <c r="D55" s="40"/>
    </row>
    <row r="56" spans="4:4" x14ac:dyDescent="0.2">
      <c r="D56" s="40"/>
    </row>
    <row r="57" spans="4:4" x14ac:dyDescent="0.2">
      <c r="D57" s="40"/>
    </row>
    <row r="58" spans="4:4" x14ac:dyDescent="0.2">
      <c r="D58" s="40"/>
    </row>
    <row r="59" spans="4:4" x14ac:dyDescent="0.2">
      <c r="D59" s="40"/>
    </row>
    <row r="60" spans="4:4" x14ac:dyDescent="0.2">
      <c r="D60" s="40"/>
    </row>
    <row r="61" spans="4:4" x14ac:dyDescent="0.2">
      <c r="D61" s="40"/>
    </row>
    <row r="62" spans="4:4" x14ac:dyDescent="0.2">
      <c r="D62" s="40"/>
    </row>
    <row r="63" spans="4:4" x14ac:dyDescent="0.2">
      <c r="D63" s="40"/>
    </row>
    <row r="64" spans="4:4" x14ac:dyDescent="0.2">
      <c r="D64" s="40"/>
    </row>
    <row r="65" spans="4:4" x14ac:dyDescent="0.2">
      <c r="D65" s="40"/>
    </row>
  </sheetData>
  <sheetProtection password="CA99" sheet="1" objects="1" scenarios="1"/>
  <mergeCells count="3">
    <mergeCell ref="B1:F1"/>
    <mergeCell ref="B2:F2"/>
    <mergeCell ref="B3:F3"/>
  </mergeCells>
  <phoneticPr fontId="4" type="noConversion"/>
  <pageMargins left="0.75" right="0.75" top="0.75" bottom="1" header="0.5" footer="0.5"/>
  <pageSetup paperSize="291" orientation="portrait" blackAndWhite="1" horizontalDpi="4294967295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14" r:id="rId4" name="Drop Down 6">
              <controlPr defaultSize="0" autoLine="0" autoPict="0">
                <anchor moveWithCells="1">
                  <from>
                    <xdr:col>3</xdr:col>
                    <xdr:colOff>9525</xdr:colOff>
                    <xdr:row>14</xdr:row>
                    <xdr:rowOff>142875</xdr:rowOff>
                  </from>
                  <to>
                    <xdr:col>4</xdr:col>
                    <xdr:colOff>9525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5" r:id="rId5" name="Drop Down 7">
              <controlPr defaultSize="0" autoLine="0" autoPict="0">
                <anchor moveWithCells="1">
                  <from>
                    <xdr:col>3</xdr:col>
                    <xdr:colOff>9525</xdr:colOff>
                    <xdr:row>16</xdr:row>
                    <xdr:rowOff>104775</xdr:rowOff>
                  </from>
                  <to>
                    <xdr:col>4</xdr:col>
                    <xdr:colOff>28575</xdr:colOff>
                    <xdr:row>17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indexed="10"/>
  </sheetPr>
  <dimension ref="A1:MU76"/>
  <sheetViews>
    <sheetView showZeros="0" topLeftCell="BR1" zoomScale="82" zoomScaleNormal="82" zoomScaleSheetLayoutView="75" workbookViewId="0">
      <selection activeCell="DC6" sqref="DC6:DM6"/>
    </sheetView>
  </sheetViews>
  <sheetFormatPr defaultRowHeight="12.75" x14ac:dyDescent="0.2"/>
  <cols>
    <col min="1" max="1" width="1.85546875" customWidth="1"/>
    <col min="2" max="2" width="2.85546875" customWidth="1"/>
    <col min="3" max="106" width="4.85546875" customWidth="1"/>
    <col min="107" max="143" width="3.85546875" customWidth="1"/>
    <col min="144" max="144" width="3.140625" bestFit="1" customWidth="1"/>
    <col min="145" max="338" width="3.85546875" customWidth="1"/>
    <col min="339" max="340" width="3.140625" customWidth="1"/>
    <col min="341" max="341" width="2.85546875" customWidth="1"/>
    <col min="342" max="344" width="4.85546875" customWidth="1"/>
    <col min="345" max="354" width="3.85546875" customWidth="1"/>
    <col min="355" max="355" width="4.140625" customWidth="1"/>
    <col min="356" max="356" width="3.5703125" customWidth="1"/>
    <col min="357" max="357" width="3" customWidth="1"/>
    <col min="358" max="358" width="4.140625" customWidth="1"/>
  </cols>
  <sheetData>
    <row r="1" spans="1:359" x14ac:dyDescent="0.2">
      <c r="B1" s="353" t="s">
        <v>0</v>
      </c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3"/>
      <c r="AA1" s="353"/>
      <c r="AB1" s="353"/>
      <c r="AC1" s="353"/>
      <c r="AD1" s="353"/>
      <c r="AE1" s="353"/>
      <c r="AF1" s="353"/>
      <c r="AG1" s="353"/>
      <c r="AH1" s="353"/>
      <c r="AI1" s="353"/>
      <c r="AJ1" s="353"/>
      <c r="AK1" s="353"/>
      <c r="AL1" s="353"/>
      <c r="AM1" s="353"/>
      <c r="AN1" s="353"/>
      <c r="AO1" s="353"/>
      <c r="AP1" s="353"/>
      <c r="AQ1" s="353"/>
      <c r="AR1" s="353"/>
      <c r="AS1" s="353"/>
      <c r="AT1" s="353"/>
      <c r="AU1" s="353"/>
      <c r="AV1" s="353"/>
      <c r="AW1" s="353"/>
      <c r="AX1" s="353"/>
      <c r="AY1" s="353"/>
      <c r="AZ1" s="353"/>
      <c r="BA1" s="353"/>
      <c r="BB1" s="353"/>
      <c r="BC1" s="353"/>
      <c r="BD1" s="353"/>
      <c r="BE1" s="353"/>
      <c r="BF1" s="353"/>
      <c r="BG1" s="353"/>
      <c r="BH1" s="353"/>
      <c r="BI1" s="353"/>
      <c r="BJ1" s="353"/>
      <c r="BK1" s="353"/>
      <c r="BL1" s="353"/>
      <c r="BM1" s="353"/>
      <c r="BN1" s="353"/>
      <c r="BO1" s="353"/>
      <c r="BP1" s="353"/>
      <c r="BQ1" s="353"/>
      <c r="BR1" s="353"/>
      <c r="BS1" s="353"/>
      <c r="BT1" s="353"/>
      <c r="BU1" s="353"/>
      <c r="BV1" s="353"/>
      <c r="BW1" s="353"/>
      <c r="BX1" s="353"/>
      <c r="BY1" s="353"/>
      <c r="BZ1" s="353"/>
      <c r="CA1" s="353"/>
      <c r="CB1" s="353"/>
      <c r="CC1" s="353"/>
      <c r="CD1" s="353"/>
      <c r="CE1" s="353"/>
      <c r="CF1" s="353"/>
      <c r="CG1" s="353"/>
      <c r="CH1" s="353"/>
      <c r="CI1" s="353"/>
      <c r="CJ1" s="353"/>
      <c r="CK1" s="353"/>
      <c r="CL1" s="353"/>
      <c r="CM1" s="353"/>
      <c r="CN1" s="353"/>
      <c r="CO1" s="353"/>
      <c r="CP1" s="353"/>
      <c r="CQ1" s="353"/>
      <c r="CR1" s="353"/>
      <c r="CS1" s="353"/>
      <c r="CT1" s="353"/>
      <c r="CU1" s="353"/>
      <c r="CV1" s="353"/>
      <c r="CW1" s="353"/>
      <c r="CX1" s="353"/>
      <c r="CY1" s="353"/>
      <c r="CZ1" s="353"/>
      <c r="DA1" s="353"/>
      <c r="DB1" s="353"/>
      <c r="DC1" s="353"/>
      <c r="DD1" s="353"/>
      <c r="DE1" s="353"/>
      <c r="DF1" s="353"/>
      <c r="DG1" s="353"/>
      <c r="DH1" s="353"/>
      <c r="DI1" s="353"/>
      <c r="DJ1" s="353"/>
      <c r="DK1" s="353"/>
      <c r="DL1" s="353"/>
      <c r="DM1" s="353"/>
      <c r="DN1" s="353"/>
      <c r="DO1" s="353"/>
      <c r="DP1" s="353"/>
      <c r="DQ1" s="353"/>
      <c r="DR1" s="353"/>
      <c r="DS1" s="353"/>
      <c r="DT1" s="353"/>
      <c r="DU1" s="353"/>
      <c r="DV1" s="353"/>
      <c r="DW1" s="353"/>
      <c r="DX1" s="353"/>
      <c r="DY1" s="353"/>
      <c r="DZ1" s="353"/>
      <c r="EA1" s="353"/>
      <c r="EB1" s="353"/>
      <c r="EC1" s="353"/>
      <c r="ED1" s="353"/>
      <c r="EE1" s="353"/>
      <c r="EF1" s="353"/>
      <c r="EG1" s="353"/>
      <c r="EH1" s="353"/>
      <c r="EI1" s="353"/>
      <c r="EJ1" s="353"/>
      <c r="EK1" s="353"/>
      <c r="EL1" s="353"/>
      <c r="EM1" s="353"/>
      <c r="EN1" s="353"/>
      <c r="EO1" s="353"/>
      <c r="EP1" s="353"/>
      <c r="EQ1" s="353"/>
      <c r="ER1" s="353"/>
      <c r="ES1" s="353"/>
      <c r="ET1" s="353"/>
      <c r="EU1" s="353"/>
      <c r="EV1" s="353"/>
      <c r="EW1" s="353"/>
      <c r="EX1" s="353"/>
      <c r="EY1" s="353"/>
      <c r="EZ1" s="353"/>
      <c r="FA1" s="353"/>
      <c r="FB1" s="353"/>
      <c r="FC1" s="353"/>
      <c r="FD1" s="353"/>
      <c r="FE1" s="353"/>
      <c r="FF1" s="353"/>
      <c r="FG1" s="353"/>
      <c r="FH1" s="353"/>
      <c r="FI1" s="353"/>
      <c r="FJ1" s="353"/>
      <c r="FK1" s="353"/>
      <c r="FL1" s="353"/>
      <c r="FM1" s="353"/>
      <c r="FN1" s="353"/>
      <c r="FO1" s="353"/>
      <c r="FP1" s="353"/>
      <c r="FQ1" s="353"/>
      <c r="FR1" s="353"/>
      <c r="FS1" s="353"/>
      <c r="FT1" s="353"/>
      <c r="FU1" s="353"/>
      <c r="FV1" s="353"/>
      <c r="FW1" s="353"/>
      <c r="FX1" s="353"/>
      <c r="FY1" s="353"/>
      <c r="FZ1" s="353"/>
      <c r="GA1" s="353"/>
      <c r="GB1" s="353"/>
      <c r="GC1" s="353"/>
      <c r="GD1" s="353"/>
      <c r="GE1" s="353"/>
      <c r="GF1" s="353"/>
      <c r="GG1" s="353"/>
      <c r="GH1" s="353"/>
      <c r="GI1" s="353"/>
      <c r="GJ1" s="353"/>
      <c r="GK1" s="353"/>
      <c r="GL1" s="353"/>
      <c r="GM1" s="353"/>
      <c r="GN1" s="353"/>
      <c r="GO1" s="353"/>
      <c r="GP1" s="353"/>
      <c r="GQ1" s="353"/>
      <c r="GR1" s="353"/>
      <c r="GS1" s="353"/>
      <c r="GT1" s="353"/>
      <c r="GU1" s="353"/>
      <c r="GV1" s="353"/>
      <c r="GW1" s="353"/>
      <c r="GX1" s="353"/>
      <c r="GY1" s="353"/>
      <c r="GZ1" s="353"/>
      <c r="HA1" s="353"/>
      <c r="HB1" s="353"/>
      <c r="HC1" s="353"/>
      <c r="HD1" s="353"/>
      <c r="HE1" s="353"/>
      <c r="HF1" s="353"/>
      <c r="HG1" s="353"/>
      <c r="HH1" s="353"/>
      <c r="HI1" s="353"/>
      <c r="HJ1" s="353"/>
      <c r="HK1" s="353"/>
      <c r="HL1" s="353"/>
      <c r="HM1" s="353"/>
      <c r="HN1" s="353"/>
      <c r="HO1" s="353"/>
      <c r="HP1" s="353"/>
      <c r="HQ1" s="353"/>
      <c r="HR1" s="353"/>
      <c r="HS1" s="353"/>
      <c r="HT1" s="353"/>
      <c r="HU1" s="353"/>
      <c r="HV1" s="353"/>
      <c r="HW1" s="353"/>
      <c r="HX1" s="353"/>
      <c r="HY1" s="353"/>
      <c r="HZ1" s="353"/>
      <c r="IA1" s="353"/>
      <c r="IB1" s="353"/>
      <c r="IC1" s="353"/>
      <c r="ID1" s="353"/>
      <c r="IE1" s="353"/>
      <c r="IF1" s="353"/>
      <c r="IG1" s="353"/>
      <c r="IH1" s="353"/>
      <c r="II1" s="353"/>
      <c r="IJ1" s="353"/>
      <c r="IK1" s="353"/>
      <c r="IL1" s="353"/>
      <c r="IM1" s="353"/>
      <c r="IN1" s="353"/>
      <c r="IO1" s="353"/>
      <c r="IP1" s="353"/>
      <c r="IQ1" s="353"/>
      <c r="IR1" s="353"/>
      <c r="IS1" s="353"/>
      <c r="IT1" s="353"/>
      <c r="IU1" s="353"/>
      <c r="IV1" s="353"/>
      <c r="IW1" s="353"/>
      <c r="IX1" s="353"/>
      <c r="IY1" s="353"/>
      <c r="IZ1" s="353"/>
      <c r="JA1" s="353"/>
      <c r="JB1" s="353"/>
      <c r="JC1" s="353"/>
      <c r="JD1" s="353"/>
      <c r="JE1" s="353"/>
      <c r="JF1" s="353"/>
      <c r="JG1" s="353"/>
      <c r="JH1" s="353"/>
      <c r="JI1" s="353"/>
      <c r="JJ1" s="353"/>
      <c r="JK1" s="353"/>
      <c r="JL1" s="353"/>
      <c r="JM1" s="353"/>
      <c r="JN1" s="353"/>
      <c r="JO1" s="353"/>
      <c r="JP1" s="353"/>
      <c r="JQ1" s="353"/>
      <c r="JR1" s="353"/>
      <c r="JS1" s="353"/>
      <c r="JT1" s="353"/>
      <c r="JU1" s="353"/>
      <c r="JV1" s="353"/>
      <c r="JW1" s="353"/>
      <c r="JX1" s="353"/>
      <c r="JY1" s="353"/>
      <c r="JZ1" s="353"/>
      <c r="KA1" s="353"/>
      <c r="KB1" s="353"/>
      <c r="KC1" s="353"/>
      <c r="KD1" s="353"/>
      <c r="KE1" s="353"/>
      <c r="KF1" s="353"/>
      <c r="KG1" s="353"/>
      <c r="KH1" s="353"/>
      <c r="KI1" s="353"/>
      <c r="KJ1" s="353"/>
      <c r="KK1" s="353"/>
      <c r="KL1" s="353"/>
      <c r="KM1" s="353"/>
      <c r="KN1" s="353"/>
      <c r="KO1" s="353"/>
      <c r="KP1" s="353"/>
      <c r="KQ1" s="353"/>
      <c r="KR1" s="353"/>
      <c r="KS1" s="353"/>
      <c r="KT1" s="353"/>
      <c r="KU1" s="353"/>
      <c r="KV1" s="353"/>
      <c r="KW1" s="353"/>
      <c r="KX1" s="353"/>
      <c r="KY1" s="353"/>
      <c r="KZ1" s="353"/>
      <c r="LA1" s="353"/>
      <c r="LB1" s="353"/>
      <c r="LC1" s="353"/>
      <c r="LD1" s="353"/>
      <c r="LE1" s="353"/>
      <c r="LF1" s="353"/>
      <c r="LG1" s="353"/>
      <c r="LH1" s="353"/>
      <c r="LI1" s="353"/>
      <c r="LJ1" s="353"/>
      <c r="LK1" s="353"/>
      <c r="LL1" s="353"/>
      <c r="LM1" s="353"/>
      <c r="LN1" s="353"/>
      <c r="LO1" s="353"/>
      <c r="LP1" s="353"/>
      <c r="LQ1" s="353"/>
      <c r="LR1" s="353"/>
      <c r="LS1" s="353"/>
      <c r="LT1" s="353"/>
      <c r="LU1" s="353"/>
      <c r="LV1" s="353"/>
      <c r="LW1" s="353"/>
      <c r="LX1" s="353"/>
      <c r="LY1" s="353"/>
      <c r="LZ1" s="353"/>
      <c r="MA1" s="353"/>
      <c r="MB1" s="353"/>
      <c r="MC1" s="353"/>
      <c r="MD1" s="353"/>
      <c r="ME1" s="353"/>
      <c r="MF1" s="353"/>
      <c r="MG1" s="353"/>
      <c r="MH1" s="353"/>
      <c r="MI1" s="353"/>
      <c r="MJ1" s="353"/>
      <c r="MK1" s="353"/>
      <c r="ML1" s="353"/>
      <c r="MM1" s="353"/>
      <c r="MN1" s="353"/>
      <c r="MO1" s="353"/>
    </row>
    <row r="2" spans="1:359" x14ac:dyDescent="0.2">
      <c r="B2" s="353" t="s">
        <v>1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353"/>
      <c r="W2" s="353"/>
      <c r="X2" s="353"/>
      <c r="Y2" s="353"/>
      <c r="Z2" s="353"/>
      <c r="AA2" s="353"/>
      <c r="AB2" s="353"/>
      <c r="AC2" s="353"/>
      <c r="AD2" s="353"/>
      <c r="AE2" s="353"/>
      <c r="AF2" s="353"/>
      <c r="AG2" s="353"/>
      <c r="AH2" s="353"/>
      <c r="AI2" s="353"/>
      <c r="AJ2" s="353"/>
      <c r="AK2" s="353"/>
      <c r="AL2" s="353"/>
      <c r="AM2" s="353"/>
      <c r="AN2" s="353"/>
      <c r="AO2" s="353"/>
      <c r="AP2" s="353"/>
      <c r="AQ2" s="353"/>
      <c r="AR2" s="353"/>
      <c r="AS2" s="353"/>
      <c r="AT2" s="353"/>
      <c r="AU2" s="353"/>
      <c r="AV2" s="353"/>
      <c r="AW2" s="353"/>
      <c r="AX2" s="353"/>
      <c r="AY2" s="353"/>
      <c r="AZ2" s="353"/>
      <c r="BA2" s="353"/>
      <c r="BB2" s="353"/>
      <c r="BC2" s="353"/>
      <c r="BD2" s="353"/>
      <c r="BE2" s="353"/>
      <c r="BF2" s="353"/>
      <c r="BG2" s="353"/>
      <c r="BH2" s="353"/>
      <c r="BI2" s="353"/>
      <c r="BJ2" s="353"/>
      <c r="BK2" s="353"/>
      <c r="BL2" s="353"/>
      <c r="BM2" s="353"/>
      <c r="BN2" s="353"/>
      <c r="BO2" s="353"/>
      <c r="BP2" s="353"/>
      <c r="BQ2" s="353"/>
      <c r="BR2" s="353"/>
      <c r="BS2" s="353"/>
      <c r="BT2" s="353"/>
      <c r="BU2" s="353"/>
      <c r="BV2" s="353"/>
      <c r="BW2" s="353"/>
      <c r="BX2" s="353"/>
      <c r="BY2" s="353"/>
      <c r="BZ2" s="353"/>
      <c r="CA2" s="353"/>
      <c r="CB2" s="353"/>
      <c r="CC2" s="353"/>
      <c r="CD2" s="353"/>
      <c r="CE2" s="353"/>
      <c r="CF2" s="353"/>
      <c r="CG2" s="353"/>
      <c r="CH2" s="353"/>
      <c r="CI2" s="353"/>
      <c r="CJ2" s="353"/>
      <c r="CK2" s="353"/>
      <c r="CL2" s="353"/>
      <c r="CM2" s="353"/>
      <c r="CN2" s="353"/>
      <c r="CO2" s="353"/>
      <c r="CP2" s="353"/>
      <c r="CQ2" s="353"/>
      <c r="CR2" s="353"/>
      <c r="CS2" s="353"/>
      <c r="CT2" s="353"/>
      <c r="CU2" s="353"/>
      <c r="CV2" s="353"/>
      <c r="CW2" s="353"/>
      <c r="CX2" s="353"/>
      <c r="CY2" s="353"/>
      <c r="CZ2" s="353"/>
      <c r="DA2" s="353"/>
      <c r="DB2" s="353"/>
      <c r="DC2" s="353"/>
      <c r="DD2" s="353"/>
      <c r="DE2" s="353"/>
      <c r="DF2" s="353"/>
      <c r="DG2" s="353"/>
      <c r="DH2" s="353"/>
      <c r="DI2" s="353"/>
      <c r="DJ2" s="353"/>
      <c r="DK2" s="353"/>
      <c r="DL2" s="353"/>
      <c r="DM2" s="353"/>
      <c r="DN2" s="353"/>
      <c r="DO2" s="353"/>
      <c r="DP2" s="353"/>
      <c r="DQ2" s="353"/>
      <c r="DR2" s="353"/>
      <c r="DS2" s="353"/>
      <c r="DT2" s="353"/>
      <c r="DU2" s="353"/>
      <c r="DV2" s="353"/>
      <c r="DW2" s="353"/>
      <c r="DX2" s="353"/>
      <c r="DY2" s="353"/>
      <c r="DZ2" s="353"/>
      <c r="EA2" s="353"/>
      <c r="EB2" s="353"/>
      <c r="EC2" s="353"/>
      <c r="ED2" s="353"/>
      <c r="EE2" s="353"/>
      <c r="EF2" s="353"/>
      <c r="EG2" s="353"/>
      <c r="EH2" s="353"/>
      <c r="EI2" s="353"/>
      <c r="EJ2" s="353"/>
      <c r="EK2" s="353"/>
      <c r="EL2" s="353"/>
      <c r="EM2" s="353"/>
      <c r="EN2" s="353"/>
      <c r="EO2" s="353"/>
      <c r="EP2" s="353"/>
      <c r="EQ2" s="353"/>
      <c r="ER2" s="353"/>
      <c r="ES2" s="353"/>
      <c r="ET2" s="353"/>
      <c r="EU2" s="353"/>
      <c r="EV2" s="353"/>
      <c r="EW2" s="353"/>
      <c r="EX2" s="353"/>
      <c r="EY2" s="353"/>
      <c r="EZ2" s="353"/>
      <c r="FA2" s="353"/>
      <c r="FB2" s="353"/>
      <c r="FC2" s="353"/>
      <c r="FD2" s="353"/>
      <c r="FE2" s="353"/>
      <c r="FF2" s="353"/>
      <c r="FG2" s="353"/>
      <c r="FH2" s="353"/>
      <c r="FI2" s="353"/>
      <c r="FJ2" s="353"/>
      <c r="FK2" s="353"/>
      <c r="FL2" s="353"/>
      <c r="FM2" s="353"/>
      <c r="FN2" s="353"/>
      <c r="FO2" s="353"/>
      <c r="FP2" s="353"/>
      <c r="FQ2" s="353"/>
      <c r="FR2" s="353"/>
      <c r="FS2" s="353"/>
      <c r="FT2" s="353"/>
      <c r="FU2" s="353"/>
      <c r="FV2" s="353"/>
      <c r="FW2" s="353"/>
      <c r="FX2" s="353"/>
      <c r="FY2" s="353"/>
      <c r="FZ2" s="353"/>
      <c r="GA2" s="353"/>
      <c r="GB2" s="353"/>
      <c r="GC2" s="353"/>
      <c r="GD2" s="353"/>
      <c r="GE2" s="353"/>
      <c r="GF2" s="353"/>
      <c r="GG2" s="353"/>
      <c r="GH2" s="353"/>
      <c r="GI2" s="353"/>
      <c r="GJ2" s="353"/>
      <c r="GK2" s="353"/>
      <c r="GL2" s="353"/>
      <c r="GM2" s="353"/>
      <c r="GN2" s="353"/>
      <c r="GO2" s="353"/>
      <c r="GP2" s="353"/>
      <c r="GQ2" s="353"/>
      <c r="GR2" s="353"/>
      <c r="GS2" s="353"/>
      <c r="GT2" s="353"/>
      <c r="GU2" s="353"/>
      <c r="GV2" s="353"/>
      <c r="GW2" s="353"/>
      <c r="GX2" s="353"/>
      <c r="GY2" s="353"/>
      <c r="GZ2" s="353"/>
      <c r="HA2" s="353"/>
      <c r="HB2" s="353"/>
      <c r="HC2" s="353"/>
      <c r="HD2" s="353"/>
      <c r="HE2" s="353"/>
      <c r="HF2" s="353"/>
      <c r="HG2" s="353"/>
      <c r="HH2" s="353"/>
      <c r="HI2" s="353"/>
      <c r="HJ2" s="353"/>
      <c r="HK2" s="353"/>
      <c r="HL2" s="353"/>
      <c r="HM2" s="353"/>
      <c r="HN2" s="353"/>
      <c r="HO2" s="353"/>
      <c r="HP2" s="353"/>
      <c r="HQ2" s="353"/>
      <c r="HR2" s="353"/>
      <c r="HS2" s="353"/>
      <c r="HT2" s="353"/>
      <c r="HU2" s="353"/>
      <c r="HV2" s="353"/>
      <c r="HW2" s="353"/>
      <c r="HX2" s="353"/>
      <c r="HY2" s="353"/>
      <c r="HZ2" s="353"/>
      <c r="IA2" s="353"/>
      <c r="IB2" s="353"/>
      <c r="IC2" s="353"/>
      <c r="ID2" s="353"/>
      <c r="IE2" s="353"/>
      <c r="IF2" s="353"/>
      <c r="IG2" s="353"/>
      <c r="IH2" s="353"/>
      <c r="II2" s="353"/>
      <c r="IJ2" s="353"/>
      <c r="IK2" s="353"/>
      <c r="IL2" s="353"/>
      <c r="IM2" s="353"/>
      <c r="IN2" s="353"/>
      <c r="IO2" s="353"/>
      <c r="IP2" s="353"/>
      <c r="IQ2" s="353"/>
      <c r="IR2" s="353"/>
      <c r="IS2" s="353"/>
      <c r="IT2" s="353"/>
      <c r="IU2" s="353"/>
      <c r="IV2" s="353"/>
      <c r="IW2" s="353"/>
      <c r="IX2" s="353"/>
      <c r="IY2" s="353"/>
      <c r="IZ2" s="353"/>
      <c r="JA2" s="353"/>
      <c r="JB2" s="353"/>
      <c r="JC2" s="353"/>
      <c r="JD2" s="353"/>
      <c r="JE2" s="353"/>
      <c r="JF2" s="353"/>
      <c r="JG2" s="353"/>
      <c r="JH2" s="353"/>
      <c r="JI2" s="353"/>
      <c r="JJ2" s="353"/>
      <c r="JK2" s="353"/>
      <c r="JL2" s="353"/>
      <c r="JM2" s="353"/>
      <c r="JN2" s="353"/>
      <c r="JO2" s="353"/>
      <c r="JP2" s="353"/>
      <c r="JQ2" s="353"/>
      <c r="JR2" s="353"/>
      <c r="JS2" s="353"/>
      <c r="JT2" s="353"/>
      <c r="JU2" s="353"/>
      <c r="JV2" s="353"/>
      <c r="JW2" s="353"/>
      <c r="JX2" s="353"/>
      <c r="JY2" s="353"/>
      <c r="JZ2" s="353"/>
      <c r="KA2" s="353"/>
      <c r="KB2" s="353"/>
      <c r="KC2" s="353"/>
      <c r="KD2" s="353"/>
      <c r="KE2" s="353"/>
      <c r="KF2" s="353"/>
      <c r="KG2" s="353"/>
      <c r="KH2" s="353"/>
      <c r="KI2" s="353"/>
      <c r="KJ2" s="353"/>
      <c r="KK2" s="353"/>
      <c r="KL2" s="353"/>
      <c r="KM2" s="353"/>
      <c r="KN2" s="353"/>
      <c r="KO2" s="353"/>
      <c r="KP2" s="353"/>
      <c r="KQ2" s="353"/>
      <c r="KR2" s="353"/>
      <c r="KS2" s="353"/>
      <c r="KT2" s="353"/>
      <c r="KU2" s="353"/>
      <c r="KV2" s="353"/>
      <c r="KW2" s="353"/>
      <c r="KX2" s="353"/>
      <c r="KY2" s="353"/>
      <c r="KZ2" s="353"/>
      <c r="LA2" s="353"/>
      <c r="LB2" s="353"/>
      <c r="LC2" s="353"/>
      <c r="LD2" s="353"/>
      <c r="LE2" s="353"/>
      <c r="LF2" s="353"/>
      <c r="LG2" s="353"/>
      <c r="LH2" s="353"/>
      <c r="LI2" s="353"/>
      <c r="LJ2" s="353"/>
      <c r="LK2" s="353"/>
      <c r="LL2" s="353"/>
      <c r="LM2" s="353"/>
      <c r="LN2" s="353"/>
      <c r="LO2" s="353"/>
      <c r="LP2" s="353"/>
      <c r="LQ2" s="353"/>
      <c r="LR2" s="353"/>
      <c r="LS2" s="353"/>
      <c r="LT2" s="353"/>
      <c r="LU2" s="353"/>
      <c r="LV2" s="353"/>
      <c r="LW2" s="353"/>
      <c r="LX2" s="353"/>
      <c r="LY2" s="353"/>
      <c r="LZ2" s="353"/>
      <c r="MA2" s="353"/>
      <c r="MB2" s="353"/>
      <c r="MC2" s="353"/>
      <c r="MD2" s="353"/>
      <c r="ME2" s="353"/>
      <c r="MF2" s="353"/>
      <c r="MG2" s="353"/>
      <c r="MH2" s="353"/>
      <c r="MI2" s="353"/>
      <c r="MJ2" s="353"/>
      <c r="MK2" s="353"/>
      <c r="ML2" s="353"/>
      <c r="MM2" s="353"/>
      <c r="MN2" s="353"/>
      <c r="MO2" s="353"/>
    </row>
    <row r="3" spans="1:359" x14ac:dyDescent="0.2">
      <c r="B3" s="353" t="s">
        <v>2</v>
      </c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353"/>
      <c r="W3" s="353"/>
      <c r="X3" s="353"/>
      <c r="Y3" s="353"/>
      <c r="Z3" s="353"/>
      <c r="AA3" s="353"/>
      <c r="AB3" s="353"/>
      <c r="AC3" s="353"/>
      <c r="AD3" s="353"/>
      <c r="AE3" s="353"/>
      <c r="AF3" s="353"/>
      <c r="AG3" s="353"/>
      <c r="AH3" s="353"/>
      <c r="AI3" s="353"/>
      <c r="AJ3" s="353"/>
      <c r="AK3" s="353"/>
      <c r="AL3" s="353"/>
      <c r="AM3" s="353"/>
      <c r="AN3" s="353"/>
      <c r="AO3" s="353"/>
      <c r="AP3" s="353"/>
      <c r="AQ3" s="353"/>
      <c r="AR3" s="353"/>
      <c r="AS3" s="353"/>
      <c r="AT3" s="353"/>
      <c r="AU3" s="353"/>
      <c r="AV3" s="353"/>
      <c r="AW3" s="353"/>
      <c r="AX3" s="353"/>
      <c r="AY3" s="353"/>
      <c r="AZ3" s="353"/>
      <c r="BA3" s="353"/>
      <c r="BB3" s="353"/>
      <c r="BC3" s="353"/>
      <c r="BD3" s="353"/>
      <c r="BE3" s="353"/>
      <c r="BF3" s="353"/>
      <c r="BG3" s="353"/>
      <c r="BH3" s="353"/>
      <c r="BI3" s="353"/>
      <c r="BJ3" s="353"/>
      <c r="BK3" s="353"/>
      <c r="BL3" s="353"/>
      <c r="BM3" s="353"/>
      <c r="BN3" s="353"/>
      <c r="BO3" s="353"/>
      <c r="BP3" s="353"/>
      <c r="BQ3" s="353"/>
      <c r="BR3" s="353"/>
      <c r="BS3" s="353"/>
      <c r="BT3" s="353"/>
      <c r="BU3" s="353"/>
      <c r="BV3" s="353"/>
      <c r="BW3" s="353"/>
      <c r="BX3" s="353"/>
      <c r="BY3" s="353"/>
      <c r="BZ3" s="353"/>
      <c r="CA3" s="353"/>
      <c r="CB3" s="353"/>
      <c r="CC3" s="353"/>
      <c r="CD3" s="353"/>
      <c r="CE3" s="353"/>
      <c r="CF3" s="353"/>
      <c r="CG3" s="353"/>
      <c r="CH3" s="353"/>
      <c r="CI3" s="353"/>
      <c r="CJ3" s="353"/>
      <c r="CK3" s="353"/>
      <c r="CL3" s="353"/>
      <c r="CM3" s="353"/>
      <c r="CN3" s="353"/>
      <c r="CO3" s="353"/>
      <c r="CP3" s="353"/>
      <c r="CQ3" s="353"/>
      <c r="CR3" s="353"/>
      <c r="CS3" s="353"/>
      <c r="CT3" s="353"/>
      <c r="CU3" s="353"/>
      <c r="CV3" s="353"/>
      <c r="CW3" s="353"/>
      <c r="CX3" s="353"/>
      <c r="CY3" s="353"/>
      <c r="CZ3" s="353"/>
      <c r="DA3" s="353"/>
      <c r="DB3" s="353"/>
      <c r="DC3" s="353"/>
      <c r="DD3" s="353"/>
      <c r="DE3" s="353"/>
      <c r="DF3" s="353"/>
      <c r="DG3" s="353"/>
      <c r="DH3" s="353"/>
      <c r="DI3" s="353"/>
      <c r="DJ3" s="353"/>
      <c r="DK3" s="353"/>
      <c r="DL3" s="353"/>
      <c r="DM3" s="353"/>
      <c r="DN3" s="353"/>
      <c r="DO3" s="353"/>
      <c r="DP3" s="353"/>
      <c r="DQ3" s="353"/>
      <c r="DR3" s="353"/>
      <c r="DS3" s="353"/>
      <c r="DT3" s="353"/>
      <c r="DU3" s="353"/>
      <c r="DV3" s="353"/>
      <c r="DW3" s="353"/>
      <c r="DX3" s="353"/>
      <c r="DY3" s="353"/>
      <c r="DZ3" s="353"/>
      <c r="EA3" s="353"/>
      <c r="EB3" s="353"/>
      <c r="EC3" s="353"/>
      <c r="ED3" s="353"/>
      <c r="EE3" s="353"/>
      <c r="EF3" s="353"/>
      <c r="EG3" s="353"/>
      <c r="EH3" s="353"/>
      <c r="EI3" s="353"/>
      <c r="EJ3" s="353"/>
      <c r="EK3" s="353"/>
      <c r="EL3" s="353"/>
      <c r="EM3" s="353"/>
      <c r="EN3" s="353"/>
      <c r="EO3" s="353"/>
      <c r="EP3" s="353"/>
      <c r="EQ3" s="353"/>
      <c r="ER3" s="353"/>
      <c r="ES3" s="353"/>
      <c r="ET3" s="353"/>
      <c r="EU3" s="353"/>
      <c r="EV3" s="353"/>
      <c r="EW3" s="353"/>
      <c r="EX3" s="353"/>
      <c r="EY3" s="353"/>
      <c r="EZ3" s="353"/>
      <c r="FA3" s="353"/>
      <c r="FB3" s="353"/>
      <c r="FC3" s="353"/>
      <c r="FD3" s="353"/>
      <c r="FE3" s="353"/>
      <c r="FF3" s="353"/>
      <c r="FG3" s="353"/>
      <c r="FH3" s="353"/>
      <c r="FI3" s="353"/>
      <c r="FJ3" s="353"/>
      <c r="FK3" s="353"/>
      <c r="FL3" s="353"/>
      <c r="FM3" s="353"/>
      <c r="FN3" s="353"/>
      <c r="FO3" s="353"/>
      <c r="FP3" s="353"/>
      <c r="FQ3" s="353"/>
      <c r="FR3" s="353"/>
      <c r="FS3" s="353"/>
      <c r="FT3" s="353"/>
      <c r="FU3" s="353"/>
      <c r="FV3" s="353"/>
      <c r="FW3" s="353"/>
      <c r="FX3" s="353"/>
      <c r="FY3" s="353"/>
      <c r="FZ3" s="353"/>
      <c r="GA3" s="353"/>
      <c r="GB3" s="353"/>
      <c r="GC3" s="353"/>
      <c r="GD3" s="353"/>
      <c r="GE3" s="353"/>
      <c r="GF3" s="353"/>
      <c r="GG3" s="353"/>
      <c r="GH3" s="353"/>
      <c r="GI3" s="353"/>
      <c r="GJ3" s="353"/>
      <c r="GK3" s="353"/>
      <c r="GL3" s="353"/>
      <c r="GM3" s="353"/>
      <c r="GN3" s="353"/>
      <c r="GO3" s="353"/>
      <c r="GP3" s="353"/>
      <c r="GQ3" s="353"/>
      <c r="GR3" s="353"/>
      <c r="GS3" s="353"/>
      <c r="GT3" s="353"/>
      <c r="GU3" s="353"/>
      <c r="GV3" s="353"/>
      <c r="GW3" s="353"/>
      <c r="GX3" s="353"/>
      <c r="GY3" s="353"/>
      <c r="GZ3" s="353"/>
      <c r="HA3" s="353"/>
      <c r="HB3" s="353"/>
      <c r="HC3" s="353"/>
      <c r="HD3" s="353"/>
      <c r="HE3" s="353"/>
      <c r="HF3" s="353"/>
      <c r="HG3" s="353"/>
      <c r="HH3" s="353"/>
      <c r="HI3" s="353"/>
      <c r="HJ3" s="353"/>
      <c r="HK3" s="353"/>
      <c r="HL3" s="353"/>
      <c r="HM3" s="353"/>
      <c r="HN3" s="353"/>
      <c r="HO3" s="353"/>
      <c r="HP3" s="353"/>
      <c r="HQ3" s="353"/>
      <c r="HR3" s="353"/>
      <c r="HS3" s="353"/>
      <c r="HT3" s="353"/>
      <c r="HU3" s="353"/>
      <c r="HV3" s="353"/>
      <c r="HW3" s="353"/>
      <c r="HX3" s="353"/>
      <c r="HY3" s="353"/>
      <c r="HZ3" s="353"/>
      <c r="IA3" s="353"/>
      <c r="IB3" s="353"/>
      <c r="IC3" s="353"/>
      <c r="ID3" s="353"/>
      <c r="IE3" s="353"/>
      <c r="IF3" s="353"/>
      <c r="IG3" s="353"/>
      <c r="IH3" s="353"/>
      <c r="II3" s="353"/>
      <c r="IJ3" s="353"/>
      <c r="IK3" s="353"/>
      <c r="IL3" s="353"/>
      <c r="IM3" s="353"/>
      <c r="IN3" s="353"/>
      <c r="IO3" s="353"/>
      <c r="IP3" s="353"/>
      <c r="IQ3" s="353"/>
      <c r="IR3" s="353"/>
      <c r="IS3" s="353"/>
      <c r="IT3" s="353"/>
      <c r="IU3" s="353"/>
      <c r="IV3" s="353"/>
      <c r="IW3" s="353"/>
      <c r="IX3" s="353"/>
      <c r="IY3" s="353"/>
      <c r="IZ3" s="353"/>
      <c r="JA3" s="353"/>
      <c r="JB3" s="353"/>
      <c r="JC3" s="353"/>
      <c r="JD3" s="353"/>
      <c r="JE3" s="353"/>
      <c r="JF3" s="353"/>
      <c r="JG3" s="353"/>
      <c r="JH3" s="353"/>
      <c r="JI3" s="353"/>
      <c r="JJ3" s="353"/>
      <c r="JK3" s="353"/>
      <c r="JL3" s="353"/>
      <c r="JM3" s="353"/>
      <c r="JN3" s="353"/>
      <c r="JO3" s="353"/>
      <c r="JP3" s="353"/>
      <c r="JQ3" s="353"/>
      <c r="JR3" s="353"/>
      <c r="JS3" s="353"/>
      <c r="JT3" s="353"/>
      <c r="JU3" s="353"/>
      <c r="JV3" s="353"/>
      <c r="JW3" s="353"/>
      <c r="JX3" s="353"/>
      <c r="JY3" s="353"/>
      <c r="JZ3" s="353"/>
      <c r="KA3" s="353"/>
      <c r="KB3" s="353"/>
      <c r="KC3" s="353"/>
      <c r="KD3" s="353"/>
      <c r="KE3" s="353"/>
      <c r="KF3" s="353"/>
      <c r="KG3" s="353"/>
      <c r="KH3" s="353"/>
      <c r="KI3" s="353"/>
      <c r="KJ3" s="353"/>
      <c r="KK3" s="353"/>
      <c r="KL3" s="353"/>
      <c r="KM3" s="353"/>
      <c r="KN3" s="353"/>
      <c r="KO3" s="353"/>
      <c r="KP3" s="353"/>
      <c r="KQ3" s="353"/>
      <c r="KR3" s="353"/>
      <c r="KS3" s="353"/>
      <c r="KT3" s="353"/>
      <c r="KU3" s="353"/>
      <c r="KV3" s="353"/>
      <c r="KW3" s="353"/>
      <c r="KX3" s="353"/>
      <c r="KY3" s="353"/>
      <c r="KZ3" s="353"/>
      <c r="LA3" s="353"/>
      <c r="LB3" s="353"/>
      <c r="LC3" s="353"/>
      <c r="LD3" s="353"/>
      <c r="LE3" s="353"/>
      <c r="LF3" s="353"/>
      <c r="LG3" s="353"/>
      <c r="LH3" s="353"/>
      <c r="LI3" s="353"/>
      <c r="LJ3" s="353"/>
      <c r="LK3" s="353"/>
      <c r="LL3" s="353"/>
      <c r="LM3" s="353"/>
      <c r="LN3" s="353"/>
      <c r="LO3" s="353"/>
      <c r="LP3" s="353"/>
      <c r="LQ3" s="353"/>
      <c r="LR3" s="353"/>
      <c r="LS3" s="353"/>
      <c r="LT3" s="353"/>
      <c r="LU3" s="353"/>
      <c r="LV3" s="353"/>
      <c r="LW3" s="353"/>
      <c r="LX3" s="353"/>
      <c r="LY3" s="353"/>
      <c r="LZ3" s="353"/>
      <c r="MA3" s="353"/>
      <c r="MB3" s="353"/>
      <c r="MC3" s="353"/>
      <c r="MD3" s="353"/>
      <c r="ME3" s="353"/>
      <c r="MF3" s="353"/>
      <c r="MG3" s="353"/>
      <c r="MH3" s="353"/>
      <c r="MI3" s="353"/>
      <c r="MJ3" s="353"/>
      <c r="MK3" s="353"/>
      <c r="ML3" s="353"/>
      <c r="MM3" s="353"/>
      <c r="MN3" s="353"/>
      <c r="MO3" s="353"/>
    </row>
    <row r="5" spans="1:359" x14ac:dyDescent="0.2">
      <c r="B5" s="350" t="s">
        <v>10</v>
      </c>
      <c r="C5" s="350"/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  <c r="AK5" s="350"/>
      <c r="AL5" s="350"/>
      <c r="AM5" s="350"/>
      <c r="AN5" s="350"/>
      <c r="AO5" s="350"/>
      <c r="AP5" s="350"/>
      <c r="AQ5" s="350"/>
      <c r="AR5" s="350"/>
      <c r="AS5" s="350"/>
      <c r="AT5" s="350"/>
      <c r="AU5" s="350"/>
      <c r="AV5" s="350"/>
      <c r="AW5" s="350"/>
      <c r="AX5" s="350"/>
      <c r="AY5" s="350"/>
      <c r="AZ5" s="350"/>
      <c r="BA5" s="350"/>
      <c r="BB5" s="350"/>
      <c r="BC5" s="350"/>
      <c r="BD5" s="350"/>
      <c r="BE5" s="350"/>
      <c r="BF5" s="350"/>
      <c r="BG5" s="350"/>
      <c r="BH5" s="350"/>
      <c r="BI5" s="350"/>
      <c r="BJ5" s="350"/>
      <c r="BK5" s="350"/>
      <c r="BL5" s="350"/>
      <c r="BM5" s="350"/>
      <c r="BN5" s="350"/>
      <c r="BO5" s="350"/>
      <c r="BP5" s="350"/>
      <c r="BQ5" s="350"/>
      <c r="BR5" s="350"/>
      <c r="BS5" s="350"/>
      <c r="BT5" s="350"/>
      <c r="BU5" s="350"/>
      <c r="BV5" s="350"/>
      <c r="BW5" s="350"/>
      <c r="BX5" s="350"/>
      <c r="BY5" s="350"/>
      <c r="BZ5" s="350"/>
      <c r="CA5" s="350"/>
      <c r="CB5" s="350"/>
      <c r="CC5" s="350"/>
      <c r="CD5" s="350"/>
      <c r="CE5" s="350"/>
      <c r="CF5" s="350"/>
      <c r="CG5" s="350"/>
      <c r="CH5" s="350"/>
      <c r="CI5" s="350"/>
      <c r="CJ5" s="350"/>
      <c r="CK5" s="350"/>
      <c r="CL5" s="350"/>
      <c r="CM5" s="350"/>
      <c r="CN5" s="350"/>
      <c r="CO5" s="350"/>
      <c r="CP5" s="350"/>
      <c r="CQ5" s="350"/>
      <c r="CR5" s="350"/>
      <c r="CS5" s="350"/>
      <c r="CT5" s="350"/>
      <c r="CU5" s="350"/>
      <c r="CV5" s="350"/>
      <c r="CW5" s="350"/>
      <c r="CX5" s="350"/>
      <c r="CY5" s="350"/>
      <c r="CZ5" s="350"/>
      <c r="DA5" s="350"/>
      <c r="DB5" s="350"/>
      <c r="DC5" s="350"/>
      <c r="DD5" s="350"/>
      <c r="DE5" s="350"/>
      <c r="DF5" s="350"/>
      <c r="DG5" s="350"/>
      <c r="DH5" s="350"/>
      <c r="DI5" s="350"/>
      <c r="DJ5" s="350"/>
      <c r="DK5" s="350"/>
      <c r="DL5" s="350"/>
      <c r="DM5" s="350"/>
      <c r="DN5" s="350"/>
      <c r="DO5" s="350"/>
      <c r="DP5" s="350"/>
      <c r="DQ5" s="350"/>
      <c r="DR5" s="350"/>
      <c r="DS5" s="350"/>
      <c r="DT5" s="350"/>
      <c r="DU5" s="350"/>
      <c r="DV5" s="350"/>
      <c r="DW5" s="350"/>
      <c r="DX5" s="350"/>
      <c r="DY5" s="350"/>
      <c r="DZ5" s="350"/>
      <c r="EA5" s="350"/>
      <c r="EB5" s="350"/>
      <c r="EC5" s="350"/>
      <c r="ED5" s="350"/>
      <c r="EE5" s="350"/>
      <c r="EF5" s="350"/>
      <c r="EG5" s="350"/>
      <c r="EH5" s="350"/>
      <c r="EI5" s="350"/>
      <c r="EJ5" s="350"/>
      <c r="EK5" s="350"/>
      <c r="EL5" s="350"/>
      <c r="EM5" s="350"/>
      <c r="EN5" s="350"/>
      <c r="EO5" s="350"/>
      <c r="EP5" s="350"/>
      <c r="EQ5" s="350"/>
      <c r="ER5" s="350"/>
      <c r="ES5" s="350"/>
      <c r="ET5" s="350"/>
      <c r="EU5" s="350"/>
      <c r="EV5" s="350"/>
      <c r="EW5" s="350"/>
      <c r="EX5" s="350"/>
      <c r="EY5" s="350"/>
      <c r="EZ5" s="350"/>
      <c r="FA5" s="350"/>
      <c r="FB5" s="350"/>
      <c r="FC5" s="350"/>
      <c r="FD5" s="350"/>
      <c r="FE5" s="350"/>
      <c r="FF5" s="350"/>
      <c r="FG5" s="350"/>
      <c r="FH5" s="350"/>
      <c r="FI5" s="350"/>
      <c r="FJ5" s="350"/>
      <c r="FK5" s="350"/>
      <c r="FL5" s="350"/>
      <c r="FM5" s="350"/>
      <c r="FN5" s="350"/>
      <c r="FO5" s="350"/>
      <c r="FP5" s="350"/>
      <c r="FQ5" s="350"/>
      <c r="FR5" s="350"/>
      <c r="FS5" s="350"/>
      <c r="FT5" s="350"/>
      <c r="FU5" s="350"/>
      <c r="FV5" s="350"/>
      <c r="FW5" s="350"/>
      <c r="FX5" s="350"/>
      <c r="FY5" s="350"/>
      <c r="FZ5" s="350"/>
      <c r="GA5" s="350"/>
      <c r="GB5" s="350"/>
      <c r="GC5" s="350"/>
      <c r="GD5" s="350"/>
      <c r="GE5" s="350"/>
      <c r="GF5" s="350"/>
      <c r="GG5" s="350"/>
      <c r="GH5" s="350"/>
      <c r="GI5" s="350"/>
      <c r="GJ5" s="350"/>
      <c r="GK5" s="350"/>
      <c r="GL5" s="350"/>
      <c r="GM5" s="350"/>
      <c r="GN5" s="350"/>
      <c r="GO5" s="350"/>
      <c r="GP5" s="350"/>
      <c r="GQ5" s="350"/>
      <c r="GR5" s="350"/>
      <c r="GS5" s="350"/>
      <c r="GT5" s="350"/>
      <c r="GU5" s="350"/>
      <c r="GV5" s="350"/>
      <c r="GW5" s="350"/>
      <c r="GX5" s="350"/>
      <c r="GY5" s="350"/>
      <c r="GZ5" s="350"/>
      <c r="HA5" s="350"/>
      <c r="HB5" s="350"/>
      <c r="HC5" s="350"/>
      <c r="HD5" s="350"/>
      <c r="HE5" s="350"/>
      <c r="HF5" s="350"/>
      <c r="HG5" s="350"/>
      <c r="HH5" s="350"/>
      <c r="HI5" s="350"/>
      <c r="HJ5" s="350"/>
      <c r="HK5" s="350"/>
      <c r="HL5" s="350"/>
      <c r="HM5" s="350"/>
      <c r="HN5" s="350"/>
      <c r="HO5" s="350"/>
      <c r="HP5" s="350"/>
      <c r="HQ5" s="350"/>
      <c r="HR5" s="350"/>
      <c r="HS5" s="350"/>
      <c r="HT5" s="350"/>
      <c r="HU5" s="350"/>
      <c r="HV5" s="350"/>
      <c r="HW5" s="350"/>
      <c r="HX5" s="350"/>
      <c r="HY5" s="350"/>
      <c r="HZ5" s="350"/>
      <c r="IA5" s="350"/>
      <c r="IB5" s="350"/>
      <c r="IC5" s="350"/>
      <c r="ID5" s="350"/>
      <c r="IE5" s="350"/>
      <c r="IF5" s="350"/>
      <c r="IG5" s="350"/>
      <c r="IH5" s="350"/>
      <c r="II5" s="350"/>
      <c r="IJ5" s="350"/>
      <c r="IK5" s="350"/>
      <c r="IL5" s="350"/>
      <c r="IM5" s="350"/>
      <c r="IN5" s="350"/>
      <c r="IO5" s="350"/>
      <c r="IP5" s="350"/>
      <c r="IQ5" s="350"/>
      <c r="IR5" s="350"/>
      <c r="IS5" s="350"/>
      <c r="IT5" s="350"/>
      <c r="IU5" s="350"/>
      <c r="IV5" s="350"/>
      <c r="IW5" s="350"/>
      <c r="IX5" s="350"/>
      <c r="IY5" s="350"/>
      <c r="IZ5" s="350"/>
      <c r="JA5" s="350"/>
      <c r="JB5" s="350"/>
      <c r="JC5" s="350"/>
      <c r="JD5" s="350"/>
      <c r="JE5" s="350"/>
      <c r="JF5" s="350"/>
      <c r="JG5" s="350"/>
      <c r="JH5" s="350"/>
      <c r="JI5" s="350"/>
      <c r="JJ5" s="350"/>
      <c r="JK5" s="350"/>
      <c r="JL5" s="350"/>
      <c r="JM5" s="350"/>
      <c r="JN5" s="350"/>
      <c r="JO5" s="350"/>
      <c r="JP5" s="350"/>
      <c r="JQ5" s="350"/>
      <c r="JR5" s="350"/>
      <c r="JS5" s="350"/>
      <c r="JT5" s="350"/>
      <c r="JU5" s="350"/>
      <c r="JV5" s="350"/>
      <c r="JW5" s="350"/>
      <c r="JX5" s="350"/>
      <c r="JY5" s="350"/>
      <c r="JZ5" s="350"/>
      <c r="KA5" s="350"/>
      <c r="KB5" s="350"/>
      <c r="KC5" s="350"/>
      <c r="KD5" s="350"/>
      <c r="KE5" s="350"/>
      <c r="KF5" s="350"/>
      <c r="KG5" s="350"/>
      <c r="KH5" s="350"/>
      <c r="KI5" s="350"/>
      <c r="KJ5" s="350"/>
      <c r="KK5" s="350"/>
      <c r="KL5" s="350"/>
      <c r="KM5" s="350"/>
      <c r="KN5" s="350"/>
      <c r="KO5" s="350"/>
      <c r="KP5" s="350"/>
      <c r="KQ5" s="350"/>
      <c r="KR5" s="350"/>
      <c r="KS5" s="350"/>
      <c r="KT5" s="350"/>
      <c r="KU5" s="350"/>
      <c r="KV5" s="350"/>
      <c r="KW5" s="350"/>
      <c r="KX5" s="350"/>
      <c r="KY5" s="350"/>
      <c r="KZ5" s="350"/>
      <c r="LA5" s="350"/>
      <c r="LB5" s="350"/>
      <c r="LC5" s="350"/>
      <c r="LD5" s="350"/>
      <c r="LE5" s="350"/>
      <c r="LF5" s="350"/>
      <c r="LG5" s="350"/>
      <c r="LH5" s="350"/>
      <c r="LI5" s="350"/>
      <c r="LJ5" s="350"/>
      <c r="LK5" s="350"/>
      <c r="LL5" s="350"/>
      <c r="LM5" s="350"/>
      <c r="LN5" s="350"/>
      <c r="LO5" s="350"/>
      <c r="LP5" s="350"/>
      <c r="LQ5" s="350"/>
      <c r="LR5" s="350"/>
      <c r="LS5" s="350"/>
      <c r="LT5" s="350"/>
      <c r="LU5" s="350"/>
      <c r="LV5" s="350"/>
      <c r="LW5" s="350"/>
      <c r="LX5" s="350"/>
      <c r="LY5" s="350"/>
      <c r="LZ5" s="350"/>
      <c r="MA5" s="350"/>
      <c r="MB5" s="350"/>
      <c r="MC5" s="350"/>
      <c r="MD5" s="350"/>
      <c r="ME5" s="350"/>
      <c r="MF5" s="350"/>
      <c r="MG5" s="350"/>
      <c r="MH5" s="350"/>
      <c r="MI5" s="350"/>
      <c r="MJ5" s="350"/>
      <c r="MK5" s="350"/>
      <c r="ML5" s="350"/>
      <c r="MM5" s="350"/>
      <c r="MN5" s="350"/>
      <c r="MO5" s="350"/>
    </row>
    <row r="6" spans="1:359" x14ac:dyDescent="0.2">
      <c r="B6" t="s">
        <v>3</v>
      </c>
      <c r="DC6" s="407" t="str">
        <f>Entry!D12 &amp; ", " &amp;Entry!D13 &amp; " " &amp;Entry!D14</f>
        <v xml:space="preserve">,  </v>
      </c>
      <c r="DD6" s="408"/>
      <c r="DE6" s="408"/>
      <c r="DF6" s="408"/>
      <c r="DG6" s="408"/>
      <c r="DH6" s="408"/>
      <c r="DI6" s="408"/>
      <c r="DJ6" s="408"/>
      <c r="DK6" s="408"/>
      <c r="DL6" s="408"/>
      <c r="DM6" s="409"/>
      <c r="MB6" t="s">
        <v>4</v>
      </c>
      <c r="MG6" s="407">
        <f>Entry!D7</f>
        <v>0</v>
      </c>
      <c r="MH6" s="408"/>
      <c r="MI6" s="408"/>
      <c r="MJ6" s="408"/>
      <c r="MK6" s="408"/>
      <c r="ML6" s="408"/>
      <c r="MM6" s="408"/>
      <c r="MN6" s="408"/>
      <c r="MO6" s="409"/>
    </row>
    <row r="7" spans="1:359" ht="13.5" thickBot="1" x14ac:dyDescent="0.25"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MG7" s="1"/>
      <c r="MH7" s="1"/>
      <c r="MI7" s="1"/>
      <c r="MJ7" s="1"/>
      <c r="MK7" s="1"/>
      <c r="ML7" s="1"/>
      <c r="MM7" s="1"/>
      <c r="MN7" s="1"/>
      <c r="MO7" s="1"/>
    </row>
    <row r="8" spans="1:359" ht="13.5" thickBot="1" x14ac:dyDescent="0.25">
      <c r="B8" s="411" t="s">
        <v>5</v>
      </c>
      <c r="C8" s="412"/>
      <c r="D8" s="412"/>
      <c r="E8" s="41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2"/>
      <c r="Z8" s="412"/>
      <c r="AA8" s="412"/>
      <c r="AB8" s="412"/>
      <c r="AC8" s="412"/>
      <c r="AD8" s="412"/>
      <c r="AE8" s="412"/>
      <c r="AF8" s="412"/>
      <c r="AG8" s="412"/>
      <c r="AH8" s="412"/>
      <c r="AI8" s="412"/>
      <c r="AJ8" s="412"/>
      <c r="AK8" s="412"/>
      <c r="AL8" s="412"/>
      <c r="AM8" s="412"/>
      <c r="AN8" s="412"/>
      <c r="AO8" s="412"/>
      <c r="AP8" s="412"/>
      <c r="AQ8" s="412"/>
      <c r="AR8" s="412"/>
      <c r="AS8" s="412"/>
      <c r="AT8" s="412"/>
      <c r="AU8" s="412"/>
      <c r="AV8" s="412"/>
      <c r="AW8" s="412"/>
      <c r="AX8" s="412"/>
      <c r="AY8" s="412"/>
      <c r="AZ8" s="412"/>
      <c r="BA8" s="412"/>
      <c r="BB8" s="412"/>
      <c r="BC8" s="412"/>
      <c r="BD8" s="412"/>
      <c r="BE8" s="412"/>
      <c r="BF8" s="412"/>
      <c r="BG8" s="412"/>
      <c r="BH8" s="412"/>
      <c r="BI8" s="412"/>
      <c r="BJ8" s="412"/>
      <c r="BK8" s="412"/>
      <c r="BL8" s="412"/>
      <c r="BM8" s="412"/>
      <c r="BN8" s="412"/>
      <c r="BO8" s="412"/>
      <c r="BP8" s="412"/>
      <c r="BQ8" s="412"/>
      <c r="BR8" s="412"/>
      <c r="BS8" s="412"/>
      <c r="BT8" s="412"/>
      <c r="BU8" s="412"/>
      <c r="BV8" s="412"/>
      <c r="BW8" s="412"/>
      <c r="BX8" s="412"/>
      <c r="BY8" s="412"/>
      <c r="BZ8" s="412"/>
      <c r="CA8" s="412"/>
      <c r="CB8" s="412"/>
      <c r="CC8" s="412"/>
      <c r="CD8" s="412"/>
      <c r="CE8" s="412"/>
      <c r="CF8" s="412"/>
      <c r="CG8" s="412"/>
      <c r="CH8" s="412"/>
      <c r="CI8" s="412"/>
      <c r="CJ8" s="412"/>
      <c r="CK8" s="412"/>
      <c r="CL8" s="412"/>
      <c r="CM8" s="412"/>
      <c r="CN8" s="412"/>
      <c r="CO8" s="412"/>
      <c r="CP8" s="412"/>
      <c r="CQ8" s="412"/>
      <c r="CR8" s="412"/>
      <c r="CS8" s="412"/>
      <c r="CT8" s="412"/>
      <c r="CU8" s="412"/>
      <c r="CV8" s="412"/>
      <c r="CW8" s="412"/>
      <c r="CX8" s="412"/>
      <c r="CY8" s="412"/>
      <c r="CZ8" s="412"/>
      <c r="DA8" s="412"/>
      <c r="DB8" s="412"/>
      <c r="DC8" s="412"/>
      <c r="DD8" s="412"/>
      <c r="DE8" s="412"/>
      <c r="DF8" s="412"/>
      <c r="DG8" s="412"/>
      <c r="DH8" s="412"/>
      <c r="DI8" s="413"/>
      <c r="DJ8" s="414">
        <f>AE43</f>
        <v>0.25</v>
      </c>
      <c r="DK8" s="415"/>
      <c r="MC8" s="411" t="s">
        <v>17</v>
      </c>
      <c r="MD8" s="412"/>
      <c r="ME8" s="412"/>
      <c r="MF8" s="412"/>
      <c r="MG8" s="412"/>
      <c r="MH8" s="412"/>
      <c r="MI8" s="412"/>
      <c r="MJ8" s="412"/>
      <c r="MK8" s="412"/>
      <c r="ML8" s="412"/>
      <c r="MM8" s="412"/>
      <c r="MN8" s="412"/>
      <c r="MO8" s="414">
        <f>AG43</f>
        <v>0.25</v>
      </c>
      <c r="MP8" s="446"/>
      <c r="MQ8" s="446"/>
      <c r="MR8" s="446"/>
      <c r="MS8" s="446"/>
      <c r="MT8" s="415"/>
    </row>
    <row r="9" spans="1:359" x14ac:dyDescent="0.2">
      <c r="B9" s="420"/>
      <c r="C9" s="422" t="s">
        <v>11</v>
      </c>
      <c r="D9" s="416" t="s">
        <v>6</v>
      </c>
      <c r="E9" s="419"/>
      <c r="F9" s="324"/>
      <c r="G9" s="324"/>
      <c r="H9" s="324"/>
      <c r="I9" s="324"/>
      <c r="J9" s="324"/>
      <c r="K9" s="324"/>
      <c r="L9" s="324"/>
      <c r="M9" s="324"/>
      <c r="N9" s="324"/>
      <c r="O9" s="324"/>
      <c r="P9" s="324"/>
      <c r="Q9" s="324"/>
      <c r="R9" s="324"/>
      <c r="S9" s="324"/>
      <c r="T9" s="324"/>
      <c r="U9" s="324"/>
      <c r="V9" s="324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324"/>
      <c r="AH9" s="324"/>
      <c r="AI9" s="324"/>
      <c r="AJ9" s="324"/>
      <c r="AK9" s="324"/>
      <c r="AL9" s="324"/>
      <c r="AM9" s="324"/>
      <c r="AN9" s="324"/>
      <c r="AO9" s="324"/>
      <c r="AP9" s="324"/>
      <c r="AQ9" s="324"/>
      <c r="AR9" s="324"/>
      <c r="AS9" s="324"/>
      <c r="AT9" s="324"/>
      <c r="AU9" s="324"/>
      <c r="AV9" s="324"/>
      <c r="AW9" s="324"/>
      <c r="AX9" s="324"/>
      <c r="AY9" s="324"/>
      <c r="AZ9" s="324"/>
      <c r="BA9" s="324"/>
      <c r="BB9" s="324"/>
      <c r="BC9" s="324"/>
      <c r="BD9" s="324"/>
      <c r="BE9" s="324"/>
      <c r="BF9" s="324"/>
      <c r="BG9" s="324"/>
      <c r="BH9" s="324"/>
      <c r="BI9" s="324"/>
      <c r="BJ9" s="324"/>
      <c r="BK9" s="324"/>
      <c r="BL9" s="324"/>
      <c r="BM9" s="324"/>
      <c r="BN9" s="324"/>
      <c r="BO9" s="324"/>
      <c r="BP9" s="324"/>
      <c r="BQ9" s="324"/>
      <c r="BR9" s="324"/>
      <c r="BS9" s="324"/>
      <c r="BT9" s="324"/>
      <c r="BU9" s="324"/>
      <c r="BV9" s="324"/>
      <c r="BW9" s="324"/>
      <c r="BX9" s="324"/>
      <c r="BY9" s="324"/>
      <c r="BZ9" s="324"/>
      <c r="CA9" s="324"/>
      <c r="CB9" s="324"/>
      <c r="CC9" s="324"/>
      <c r="CD9" s="324"/>
      <c r="CE9" s="324"/>
      <c r="CF9" s="324"/>
      <c r="CG9" s="324"/>
      <c r="CH9" s="324"/>
      <c r="CI9" s="324"/>
      <c r="CJ9" s="324"/>
      <c r="CK9" s="324"/>
      <c r="CL9" s="324"/>
      <c r="CM9" s="324"/>
      <c r="CN9" s="324"/>
      <c r="CO9" s="324"/>
      <c r="CP9" s="324"/>
      <c r="CQ9" s="324"/>
      <c r="CR9" s="324"/>
      <c r="CS9" s="324"/>
      <c r="CT9" s="324"/>
      <c r="CU9" s="324"/>
      <c r="CV9" s="324"/>
      <c r="CW9" s="324"/>
      <c r="CX9" s="324"/>
      <c r="CY9" s="324"/>
      <c r="CZ9" s="324"/>
      <c r="DA9" s="324"/>
      <c r="DB9" s="324"/>
      <c r="DC9" s="416">
        <v>3</v>
      </c>
      <c r="DD9" s="417"/>
      <c r="DE9" s="417"/>
      <c r="DF9" s="417"/>
      <c r="DG9" s="417"/>
      <c r="DH9" s="417"/>
      <c r="DI9" s="417"/>
      <c r="DJ9" s="417"/>
      <c r="DK9" s="417"/>
      <c r="DL9" s="417"/>
      <c r="DM9" s="417"/>
      <c r="DN9" s="417"/>
      <c r="DO9" s="417"/>
      <c r="DP9" s="417"/>
      <c r="DQ9" s="417"/>
      <c r="DR9" s="417"/>
      <c r="DS9" s="417"/>
      <c r="DT9" s="417"/>
      <c r="DU9" s="417"/>
      <c r="DV9" s="417"/>
      <c r="DW9" s="417"/>
      <c r="DX9" s="417"/>
      <c r="DY9" s="417"/>
      <c r="DZ9" s="417"/>
      <c r="EA9" s="417"/>
      <c r="EB9" s="417"/>
      <c r="EC9" s="417"/>
      <c r="ED9" s="417"/>
      <c r="EE9" s="417"/>
      <c r="EF9" s="418"/>
      <c r="EG9" s="299"/>
      <c r="EH9" s="299"/>
      <c r="EI9" s="299"/>
      <c r="EJ9" s="299"/>
      <c r="EK9" s="299"/>
      <c r="EL9" s="299"/>
      <c r="EM9" s="299"/>
      <c r="EN9" s="299"/>
      <c r="EO9" s="299"/>
      <c r="EP9" s="299"/>
      <c r="EQ9" s="299"/>
      <c r="ER9" s="299"/>
      <c r="ES9" s="299"/>
      <c r="ET9" s="299"/>
      <c r="EU9" s="299"/>
      <c r="EV9" s="299"/>
      <c r="EW9" s="299"/>
      <c r="EX9" s="299"/>
      <c r="EY9" s="299"/>
      <c r="EZ9" s="299"/>
      <c r="FA9" s="299"/>
      <c r="FB9" s="299"/>
      <c r="FC9" s="299"/>
      <c r="FD9" s="299"/>
      <c r="FE9" s="299"/>
      <c r="FF9" s="299"/>
      <c r="FG9" s="299"/>
      <c r="FH9" s="299"/>
      <c r="FI9" s="299"/>
      <c r="FJ9" s="299"/>
      <c r="FK9" s="299"/>
      <c r="FL9" s="299"/>
      <c r="FM9" s="299"/>
      <c r="FN9" s="299"/>
      <c r="FO9" s="299"/>
      <c r="FP9" s="299"/>
      <c r="FQ9" s="299"/>
      <c r="FR9" s="299"/>
      <c r="FS9" s="299"/>
      <c r="FT9" s="299"/>
      <c r="FU9" s="299"/>
      <c r="FV9" s="299"/>
      <c r="FW9" s="299"/>
      <c r="FX9" s="299"/>
      <c r="FY9" s="299"/>
      <c r="FZ9" s="299"/>
      <c r="GA9" s="299"/>
      <c r="GB9" s="299"/>
      <c r="GC9" s="299"/>
      <c r="GD9" s="299"/>
      <c r="GE9" s="299"/>
      <c r="GF9" s="299"/>
      <c r="GG9" s="299"/>
      <c r="GH9" s="299"/>
      <c r="GI9" s="299"/>
      <c r="GJ9" s="299"/>
      <c r="GK9" s="299"/>
      <c r="GL9" s="299"/>
      <c r="GM9" s="299"/>
      <c r="GN9" s="299"/>
      <c r="GO9" s="299"/>
      <c r="GP9" s="299"/>
      <c r="GQ9" s="299"/>
      <c r="GR9" s="299"/>
      <c r="GS9" s="299"/>
      <c r="GT9" s="299"/>
      <c r="GU9" s="299"/>
      <c r="GV9" s="299"/>
      <c r="GW9" s="299"/>
      <c r="GX9" s="299"/>
      <c r="GY9" s="299"/>
      <c r="GZ9" s="299"/>
      <c r="HA9" s="299"/>
      <c r="HB9" s="299"/>
      <c r="HC9" s="299"/>
      <c r="HD9" s="299"/>
      <c r="HE9" s="299"/>
      <c r="HF9" s="299"/>
      <c r="HG9" s="299"/>
      <c r="HH9" s="299"/>
      <c r="HI9" s="299"/>
      <c r="HJ9" s="299"/>
      <c r="HK9" s="299"/>
      <c r="HL9" s="299"/>
      <c r="HM9" s="299"/>
      <c r="HN9" s="299"/>
      <c r="HO9" s="299"/>
      <c r="HP9" s="299"/>
      <c r="HQ9" s="299"/>
      <c r="HR9" s="299"/>
      <c r="HS9" s="299"/>
      <c r="HT9" s="299"/>
      <c r="HU9" s="299"/>
      <c r="HV9" s="299"/>
      <c r="HW9" s="299"/>
      <c r="HX9" s="299"/>
      <c r="HY9" s="299"/>
      <c r="HZ9" s="299"/>
      <c r="IA9" s="299"/>
      <c r="IB9" s="299"/>
      <c r="IC9" s="299"/>
      <c r="ID9" s="299"/>
      <c r="IE9" s="299"/>
      <c r="IF9" s="299"/>
      <c r="IG9" s="299"/>
      <c r="IH9" s="299"/>
      <c r="II9" s="299"/>
      <c r="IJ9" s="299"/>
      <c r="IK9" s="299"/>
      <c r="IL9" s="299"/>
      <c r="IM9" s="299"/>
      <c r="IN9" s="299"/>
      <c r="IO9" s="299"/>
      <c r="IP9" s="299"/>
      <c r="IQ9" s="299"/>
      <c r="IR9" s="299"/>
      <c r="IS9" s="299"/>
      <c r="IT9" s="299"/>
      <c r="IU9" s="299"/>
      <c r="IV9" s="299"/>
      <c r="IW9" s="299"/>
      <c r="IX9" s="299"/>
      <c r="IY9" s="299"/>
      <c r="IZ9" s="299"/>
      <c r="JA9" s="299"/>
      <c r="JB9" s="299"/>
      <c r="JC9" s="299"/>
      <c r="JD9" s="299"/>
      <c r="JE9" s="299"/>
      <c r="JF9" s="299"/>
      <c r="JG9" s="299"/>
      <c r="JH9" s="299"/>
      <c r="JI9" s="299"/>
      <c r="JJ9" s="299"/>
      <c r="JK9" s="299"/>
      <c r="JL9" s="299"/>
      <c r="JM9" s="299"/>
      <c r="JN9" s="299"/>
      <c r="JO9" s="299"/>
      <c r="JP9" s="299"/>
      <c r="JQ9" s="299"/>
      <c r="JR9" s="299"/>
      <c r="JS9" s="299"/>
      <c r="JT9" s="299"/>
      <c r="JU9" s="299"/>
      <c r="JV9" s="299"/>
      <c r="JW9" s="299"/>
      <c r="JX9" s="299"/>
      <c r="JY9" s="299"/>
      <c r="JZ9" s="299"/>
      <c r="KA9" s="299"/>
      <c r="KB9" s="299"/>
      <c r="KC9" s="299"/>
      <c r="KD9" s="299"/>
      <c r="KE9" s="299"/>
      <c r="KF9" s="299"/>
      <c r="KG9" s="299"/>
      <c r="KH9" s="299"/>
      <c r="KI9" s="299"/>
      <c r="KJ9" s="299"/>
      <c r="KK9" s="299"/>
      <c r="KL9" s="299"/>
      <c r="KM9" s="299"/>
      <c r="KN9" s="299"/>
      <c r="KO9" s="299"/>
      <c r="KP9" s="299"/>
      <c r="KQ9" s="299"/>
      <c r="KR9" s="299"/>
      <c r="KS9" s="299"/>
      <c r="KT9" s="299"/>
      <c r="KU9" s="299"/>
      <c r="KV9" s="299"/>
      <c r="KW9" s="299"/>
      <c r="KX9" s="299"/>
      <c r="KY9" s="299"/>
      <c r="KZ9" s="299"/>
      <c r="LA9" s="299"/>
      <c r="LB9" s="299"/>
      <c r="LC9" s="299"/>
      <c r="LD9" s="299"/>
      <c r="LE9" s="299"/>
      <c r="LF9" s="299"/>
      <c r="LG9" s="299"/>
      <c r="LH9" s="299"/>
      <c r="LI9" s="299"/>
      <c r="LJ9" s="299"/>
      <c r="LK9" s="299"/>
      <c r="LL9" s="299"/>
      <c r="LM9" s="299"/>
      <c r="LN9" s="299"/>
      <c r="LO9" s="299"/>
      <c r="LP9" s="299"/>
      <c r="LQ9" s="299"/>
      <c r="LR9" s="299"/>
      <c r="LS9" s="299"/>
      <c r="LT9" s="299"/>
      <c r="LU9" s="299"/>
      <c r="LV9" s="299"/>
      <c r="LW9" s="299"/>
      <c r="LX9" s="299"/>
      <c r="LY9" s="299"/>
      <c r="LZ9" s="299"/>
      <c r="MC9" s="2"/>
      <c r="MD9" s="422" t="s">
        <v>11</v>
      </c>
      <c r="ME9" s="416" t="s">
        <v>6</v>
      </c>
      <c r="MF9" s="419"/>
      <c r="MG9" s="416" t="s">
        <v>16</v>
      </c>
      <c r="MH9" s="417"/>
      <c r="MI9" s="417"/>
      <c r="MJ9" s="417"/>
      <c r="MK9" s="417"/>
      <c r="ML9" s="417"/>
      <c r="MM9" s="417"/>
      <c r="MN9" s="417"/>
      <c r="MO9" s="417"/>
      <c r="MP9" s="417"/>
      <c r="MQ9" s="417"/>
      <c r="MR9" s="417"/>
      <c r="MS9" s="417"/>
      <c r="MT9" s="417"/>
    </row>
    <row r="10" spans="1:359" ht="13.5" thickBot="1" x14ac:dyDescent="0.25">
      <c r="B10" s="421"/>
      <c r="C10" s="423"/>
      <c r="D10" s="4" t="s">
        <v>7</v>
      </c>
      <c r="E10" s="4" t="s">
        <v>26</v>
      </c>
      <c r="F10" s="329">
        <v>1</v>
      </c>
      <c r="G10" s="329">
        <v>2</v>
      </c>
      <c r="H10" s="329">
        <v>3</v>
      </c>
      <c r="I10" s="329">
        <v>4</v>
      </c>
      <c r="J10" s="329">
        <v>5</v>
      </c>
      <c r="K10" s="329">
        <v>6</v>
      </c>
      <c r="L10" s="329">
        <v>7</v>
      </c>
      <c r="M10" s="329">
        <v>8</v>
      </c>
      <c r="N10" s="329">
        <v>9</v>
      </c>
      <c r="O10" s="329">
        <v>10</v>
      </c>
      <c r="P10" s="329">
        <v>11</v>
      </c>
      <c r="Q10" s="329">
        <v>12</v>
      </c>
      <c r="R10" s="329">
        <v>13</v>
      </c>
      <c r="S10" s="329">
        <v>14</v>
      </c>
      <c r="T10" s="329">
        <v>15</v>
      </c>
      <c r="U10" s="329">
        <v>16</v>
      </c>
      <c r="V10" s="329">
        <v>17</v>
      </c>
      <c r="W10" s="329">
        <v>18</v>
      </c>
      <c r="X10" s="329">
        <v>19</v>
      </c>
      <c r="Y10" s="329">
        <v>20</v>
      </c>
      <c r="Z10" s="329">
        <v>21</v>
      </c>
      <c r="AA10" s="329">
        <v>22</v>
      </c>
      <c r="AB10" s="329">
        <v>23</v>
      </c>
      <c r="AC10" s="329">
        <v>24</v>
      </c>
      <c r="AD10" s="329">
        <v>25</v>
      </c>
      <c r="AE10" s="329">
        <v>26</v>
      </c>
      <c r="AF10" s="329">
        <v>27</v>
      </c>
      <c r="AG10" s="329">
        <v>28</v>
      </c>
      <c r="AH10" s="329">
        <v>29</v>
      </c>
      <c r="AI10" s="329">
        <v>30</v>
      </c>
      <c r="AJ10" s="329">
        <v>31</v>
      </c>
      <c r="AK10" s="329">
        <v>32</v>
      </c>
      <c r="AL10" s="329">
        <v>33</v>
      </c>
      <c r="AM10" s="329">
        <v>34</v>
      </c>
      <c r="AN10" s="329">
        <v>35</v>
      </c>
      <c r="AO10" s="329">
        <v>36</v>
      </c>
      <c r="AP10" s="329">
        <v>37</v>
      </c>
      <c r="AQ10" s="329">
        <v>38</v>
      </c>
      <c r="AR10" s="329">
        <v>39</v>
      </c>
      <c r="AS10" s="329">
        <v>40</v>
      </c>
      <c r="AT10" s="329">
        <v>41</v>
      </c>
      <c r="AU10" s="329">
        <v>42</v>
      </c>
      <c r="AV10" s="329">
        <v>43</v>
      </c>
      <c r="AW10" s="329">
        <v>44</v>
      </c>
      <c r="AX10" s="329">
        <v>45</v>
      </c>
      <c r="AY10" s="329">
        <v>46</v>
      </c>
      <c r="AZ10" s="329">
        <v>47</v>
      </c>
      <c r="BA10" s="329">
        <v>48</v>
      </c>
      <c r="BB10" s="329">
        <v>49</v>
      </c>
      <c r="BC10" s="329">
        <v>50</v>
      </c>
      <c r="BD10" s="329">
        <v>51</v>
      </c>
      <c r="BE10" s="329">
        <v>52</v>
      </c>
      <c r="BF10" s="329">
        <v>53</v>
      </c>
      <c r="BG10" s="329">
        <v>54</v>
      </c>
      <c r="BH10" s="329">
        <v>55</v>
      </c>
      <c r="BI10" s="329">
        <v>56</v>
      </c>
      <c r="BJ10" s="329">
        <v>57</v>
      </c>
      <c r="BK10" s="329">
        <v>58</v>
      </c>
      <c r="BL10" s="329">
        <v>59</v>
      </c>
      <c r="BM10" s="329">
        <v>60</v>
      </c>
      <c r="BN10" s="329">
        <v>61</v>
      </c>
      <c r="BO10" s="329">
        <v>62</v>
      </c>
      <c r="BP10" s="329">
        <v>63</v>
      </c>
      <c r="BQ10" s="329">
        <v>64</v>
      </c>
      <c r="BR10" s="329">
        <v>65</v>
      </c>
      <c r="BS10" s="329">
        <v>66</v>
      </c>
      <c r="BT10" s="329">
        <v>67</v>
      </c>
      <c r="BU10" s="329">
        <v>68</v>
      </c>
      <c r="BV10" s="329">
        <v>69</v>
      </c>
      <c r="BW10" s="329">
        <v>70</v>
      </c>
      <c r="BX10" s="329">
        <v>71</v>
      </c>
      <c r="BY10" s="329">
        <v>72</v>
      </c>
      <c r="BZ10" s="329">
        <v>73</v>
      </c>
      <c r="CA10" s="329">
        <v>74</v>
      </c>
      <c r="CB10" s="329">
        <v>75</v>
      </c>
      <c r="CC10" s="329">
        <v>76</v>
      </c>
      <c r="CD10" s="329">
        <v>77</v>
      </c>
      <c r="CE10" s="329">
        <v>78</v>
      </c>
      <c r="CF10" s="329">
        <v>79</v>
      </c>
      <c r="CG10" s="329">
        <v>80</v>
      </c>
      <c r="CH10" s="329">
        <v>81</v>
      </c>
      <c r="CI10" s="329">
        <v>82</v>
      </c>
      <c r="CJ10" s="329">
        <v>83</v>
      </c>
      <c r="CK10" s="329">
        <v>84</v>
      </c>
      <c r="CL10" s="329">
        <v>85</v>
      </c>
      <c r="CM10" s="329">
        <v>86</v>
      </c>
      <c r="CN10" s="329">
        <v>87</v>
      </c>
      <c r="CO10" s="329">
        <v>88</v>
      </c>
      <c r="CP10" s="329">
        <v>89</v>
      </c>
      <c r="CQ10" s="329">
        <v>90</v>
      </c>
      <c r="CR10" s="329">
        <v>91</v>
      </c>
      <c r="CS10" s="329">
        <v>92</v>
      </c>
      <c r="CT10" s="329">
        <v>93</v>
      </c>
      <c r="CU10" s="329">
        <v>94</v>
      </c>
      <c r="CV10" s="329">
        <v>95</v>
      </c>
      <c r="CW10" s="329">
        <v>96</v>
      </c>
      <c r="CX10" s="329">
        <v>97</v>
      </c>
      <c r="CY10" s="329">
        <v>98</v>
      </c>
      <c r="CZ10" s="329">
        <v>99</v>
      </c>
      <c r="DA10" s="329">
        <v>100</v>
      </c>
      <c r="DB10" s="329">
        <v>101</v>
      </c>
      <c r="DC10" s="329">
        <v>102</v>
      </c>
      <c r="DD10" s="329">
        <v>103</v>
      </c>
      <c r="DE10" s="329">
        <v>104</v>
      </c>
      <c r="DF10" s="329">
        <v>105</v>
      </c>
      <c r="DG10" s="329">
        <v>106</v>
      </c>
      <c r="DH10" s="329">
        <v>107</v>
      </c>
      <c r="DI10" s="329">
        <v>108</v>
      </c>
      <c r="DJ10" s="329">
        <v>109</v>
      </c>
      <c r="DK10" s="329">
        <v>110</v>
      </c>
      <c r="DL10" s="329">
        <v>111</v>
      </c>
      <c r="DM10" s="329">
        <v>112</v>
      </c>
      <c r="DN10" s="329">
        <v>113</v>
      </c>
      <c r="DO10" s="329">
        <v>114</v>
      </c>
      <c r="DP10" s="329">
        <v>115</v>
      </c>
      <c r="DQ10" s="329">
        <v>116</v>
      </c>
      <c r="DR10" s="329">
        <v>117</v>
      </c>
      <c r="DS10" s="329">
        <v>118</v>
      </c>
      <c r="DT10" s="329">
        <v>119</v>
      </c>
      <c r="DU10" s="329">
        <v>120</v>
      </c>
      <c r="DV10" s="329">
        <v>121</v>
      </c>
      <c r="DW10" s="329">
        <v>122</v>
      </c>
      <c r="DX10" s="329">
        <v>123</v>
      </c>
      <c r="DY10" s="329">
        <v>124</v>
      </c>
      <c r="DZ10" s="329">
        <v>125</v>
      </c>
      <c r="EA10" s="329">
        <v>126</v>
      </c>
      <c r="EB10" s="329">
        <v>127</v>
      </c>
      <c r="EC10" s="329">
        <v>128</v>
      </c>
      <c r="ED10" s="329">
        <v>129</v>
      </c>
      <c r="EE10" s="329">
        <v>130</v>
      </c>
      <c r="EF10" s="329">
        <v>131</v>
      </c>
      <c r="EG10" s="329">
        <v>132</v>
      </c>
      <c r="EH10" s="329">
        <v>133</v>
      </c>
      <c r="EI10" s="329">
        <v>134</v>
      </c>
      <c r="EJ10" s="329">
        <v>135</v>
      </c>
      <c r="EK10" s="329">
        <v>136</v>
      </c>
      <c r="EL10" s="329">
        <v>137</v>
      </c>
      <c r="EM10" s="329">
        <v>138</v>
      </c>
      <c r="EN10" s="329">
        <v>139</v>
      </c>
      <c r="EO10" s="329">
        <v>140</v>
      </c>
      <c r="EP10" s="329">
        <v>141</v>
      </c>
      <c r="EQ10" s="329">
        <v>142</v>
      </c>
      <c r="ER10" s="329">
        <v>143</v>
      </c>
      <c r="ES10" s="329">
        <v>144</v>
      </c>
      <c r="ET10" s="329">
        <v>145</v>
      </c>
      <c r="EU10" s="329">
        <v>146</v>
      </c>
      <c r="EV10" s="329">
        <v>147</v>
      </c>
      <c r="EW10" s="329">
        <v>148</v>
      </c>
      <c r="EX10" s="329">
        <v>149</v>
      </c>
      <c r="EY10" s="329">
        <v>150</v>
      </c>
      <c r="EZ10" s="329">
        <v>151</v>
      </c>
      <c r="FA10" s="329">
        <v>152</v>
      </c>
      <c r="FB10" s="329">
        <v>153</v>
      </c>
      <c r="FC10" s="329">
        <v>154</v>
      </c>
      <c r="FD10" s="329">
        <v>155</v>
      </c>
      <c r="FE10" s="329">
        <v>156</v>
      </c>
      <c r="FF10" s="329">
        <v>157</v>
      </c>
      <c r="FG10" s="329">
        <v>158</v>
      </c>
      <c r="FH10" s="329">
        <v>159</v>
      </c>
      <c r="FI10" s="329">
        <v>160</v>
      </c>
      <c r="FJ10" s="329">
        <v>161</v>
      </c>
      <c r="FK10" s="329">
        <v>162</v>
      </c>
      <c r="FL10" s="329">
        <v>163</v>
      </c>
      <c r="FM10" s="329">
        <v>164</v>
      </c>
      <c r="FN10" s="329">
        <v>165</v>
      </c>
      <c r="FO10" s="329">
        <v>166</v>
      </c>
      <c r="FP10" s="329">
        <v>167</v>
      </c>
      <c r="FQ10" s="329">
        <v>168</v>
      </c>
      <c r="FR10" s="329">
        <v>169</v>
      </c>
      <c r="FS10" s="329">
        <v>170</v>
      </c>
      <c r="FT10" s="329">
        <v>171</v>
      </c>
      <c r="FU10" s="329">
        <v>172</v>
      </c>
      <c r="FV10" s="329">
        <v>173</v>
      </c>
      <c r="FW10" s="329">
        <v>174</v>
      </c>
      <c r="FX10" s="329">
        <v>175</v>
      </c>
      <c r="FY10" s="329">
        <v>176</v>
      </c>
      <c r="FZ10" s="329">
        <v>177</v>
      </c>
      <c r="GA10" s="329">
        <v>178</v>
      </c>
      <c r="GB10" s="329">
        <v>179</v>
      </c>
      <c r="GC10" s="329">
        <v>180</v>
      </c>
      <c r="GD10" s="329">
        <v>181</v>
      </c>
      <c r="GE10" s="329">
        <v>182</v>
      </c>
      <c r="GF10" s="329">
        <v>183</v>
      </c>
      <c r="GG10" s="329">
        <v>184</v>
      </c>
      <c r="GH10" s="329">
        <v>185</v>
      </c>
      <c r="GI10" s="329">
        <v>186</v>
      </c>
      <c r="GJ10" s="329">
        <v>187</v>
      </c>
      <c r="GK10" s="329">
        <v>188</v>
      </c>
      <c r="GL10" s="329">
        <v>189</v>
      </c>
      <c r="GM10" s="329">
        <v>190</v>
      </c>
      <c r="GN10" s="329">
        <v>191</v>
      </c>
      <c r="GO10" s="329">
        <v>192</v>
      </c>
      <c r="GP10" s="329">
        <v>193</v>
      </c>
      <c r="GQ10" s="329">
        <v>194</v>
      </c>
      <c r="GR10" s="329">
        <v>195</v>
      </c>
      <c r="GS10" s="329">
        <v>196</v>
      </c>
      <c r="GT10" s="329">
        <v>197</v>
      </c>
      <c r="GU10" s="329">
        <v>198</v>
      </c>
      <c r="GV10" s="329">
        <v>199</v>
      </c>
      <c r="GW10" s="329">
        <v>200</v>
      </c>
      <c r="GX10" s="329">
        <v>201</v>
      </c>
      <c r="GY10" s="329">
        <v>202</v>
      </c>
      <c r="GZ10" s="329">
        <v>203</v>
      </c>
      <c r="HA10" s="329">
        <v>204</v>
      </c>
      <c r="HB10" s="329">
        <v>205</v>
      </c>
      <c r="HC10" s="329">
        <v>206</v>
      </c>
      <c r="HD10" s="329">
        <v>207</v>
      </c>
      <c r="HE10" s="329">
        <v>208</v>
      </c>
      <c r="HF10" s="329">
        <v>209</v>
      </c>
      <c r="HG10" s="329">
        <v>210</v>
      </c>
      <c r="HH10" s="329">
        <v>211</v>
      </c>
      <c r="HI10" s="329">
        <v>212</v>
      </c>
      <c r="HJ10" s="329">
        <v>213</v>
      </c>
      <c r="HK10" s="329">
        <v>214</v>
      </c>
      <c r="HL10" s="329">
        <v>215</v>
      </c>
      <c r="HM10" s="329">
        <v>216</v>
      </c>
      <c r="HN10" s="329">
        <v>217</v>
      </c>
      <c r="HO10" s="329">
        <v>218</v>
      </c>
      <c r="HP10" s="329">
        <v>219</v>
      </c>
      <c r="HQ10" s="329">
        <v>220</v>
      </c>
      <c r="HR10" s="329">
        <v>221</v>
      </c>
      <c r="HS10" s="329">
        <v>222</v>
      </c>
      <c r="HT10" s="329">
        <v>223</v>
      </c>
      <c r="HU10" s="329">
        <v>224</v>
      </c>
      <c r="HV10" s="329">
        <v>225</v>
      </c>
      <c r="HW10" s="329">
        <v>226</v>
      </c>
      <c r="HX10" s="329">
        <v>227</v>
      </c>
      <c r="HY10" s="329">
        <v>228</v>
      </c>
      <c r="HZ10" s="329">
        <v>229</v>
      </c>
      <c r="IA10" s="329">
        <v>230</v>
      </c>
      <c r="IB10" s="329">
        <v>231</v>
      </c>
      <c r="IC10" s="338"/>
      <c r="ID10" s="338"/>
      <c r="IE10" s="338"/>
      <c r="IF10" s="338"/>
      <c r="IG10" s="338"/>
      <c r="IH10" s="338"/>
      <c r="II10" s="338"/>
      <c r="IJ10" s="338"/>
      <c r="IK10" s="338"/>
      <c r="IL10" s="338"/>
      <c r="IM10" s="338"/>
      <c r="IN10" s="338"/>
      <c r="IO10" s="338"/>
      <c r="IP10" s="338"/>
      <c r="IQ10" s="338"/>
      <c r="IR10" s="338"/>
      <c r="IS10" s="338"/>
      <c r="IT10" s="338"/>
      <c r="IU10" s="338"/>
      <c r="IV10" s="338"/>
      <c r="IW10" s="338"/>
      <c r="IX10" s="338"/>
      <c r="IY10" s="338"/>
      <c r="IZ10" s="338"/>
      <c r="JA10" s="338"/>
      <c r="JB10" s="338"/>
      <c r="JC10" s="338"/>
      <c r="JD10" s="338"/>
      <c r="JE10" s="338"/>
      <c r="JF10" s="338"/>
      <c r="JG10" s="338"/>
      <c r="JH10" s="338"/>
      <c r="JI10" s="338"/>
      <c r="JJ10" s="338"/>
      <c r="JK10" s="338"/>
      <c r="JL10" s="338"/>
      <c r="JM10" s="338"/>
      <c r="JN10" s="338"/>
      <c r="JO10" s="338"/>
      <c r="JP10" s="338"/>
      <c r="JQ10" s="338"/>
      <c r="JR10" s="338"/>
      <c r="JS10" s="338"/>
      <c r="JT10" s="338"/>
      <c r="JU10" s="338"/>
      <c r="JV10" s="338"/>
      <c r="JW10" s="338"/>
      <c r="JX10" s="338"/>
      <c r="JY10" s="338"/>
      <c r="JZ10" s="338"/>
      <c r="KA10" s="338"/>
      <c r="KB10" s="338"/>
      <c r="KC10" s="338"/>
      <c r="KD10" s="338"/>
      <c r="KE10" s="338"/>
      <c r="KF10" s="338"/>
      <c r="KG10" s="338"/>
      <c r="KH10" s="338"/>
      <c r="KI10" s="338"/>
      <c r="KJ10" s="338"/>
      <c r="KK10" s="338"/>
      <c r="KL10" s="338"/>
      <c r="KM10" s="338"/>
      <c r="KN10" s="338"/>
      <c r="KO10" s="338"/>
      <c r="KP10" s="338"/>
      <c r="KQ10" s="338"/>
      <c r="KR10" s="338"/>
      <c r="KS10" s="338"/>
      <c r="KT10" s="338"/>
      <c r="KU10" s="338"/>
      <c r="KV10" s="338"/>
      <c r="KW10" s="338"/>
      <c r="KX10" s="338"/>
      <c r="KY10" s="338"/>
      <c r="KZ10" s="338"/>
      <c r="LA10" s="338"/>
      <c r="LB10" s="338"/>
      <c r="LC10" s="338"/>
      <c r="LD10" s="338"/>
      <c r="LE10" s="338"/>
      <c r="LF10" s="338"/>
      <c r="LG10" s="338"/>
      <c r="LH10" s="338"/>
      <c r="LI10" s="338"/>
      <c r="LJ10" s="338"/>
      <c r="LK10" s="338"/>
      <c r="LL10" s="338"/>
      <c r="LM10" s="338"/>
      <c r="LN10" s="338"/>
      <c r="LO10" s="338"/>
      <c r="LP10" s="338"/>
      <c r="LQ10" s="338"/>
      <c r="LR10" s="338"/>
      <c r="LS10" s="338"/>
      <c r="LT10" s="338"/>
      <c r="LU10" s="338"/>
      <c r="LV10" s="338"/>
      <c r="LW10" s="338"/>
      <c r="LX10" s="338"/>
      <c r="LY10" s="338"/>
      <c r="LZ10" s="338"/>
      <c r="MC10" s="3"/>
      <c r="MD10" s="444"/>
      <c r="ME10" s="4" t="s">
        <v>7</v>
      </c>
      <c r="MF10" s="4" t="s">
        <v>26</v>
      </c>
      <c r="MG10" s="5">
        <v>1</v>
      </c>
      <c r="MH10" s="5">
        <v>2</v>
      </c>
      <c r="MI10" s="5">
        <v>3</v>
      </c>
      <c r="MJ10" s="5">
        <v>4</v>
      </c>
      <c r="MK10" s="5">
        <v>5</v>
      </c>
      <c r="ML10" s="7">
        <v>6</v>
      </c>
      <c r="MM10" s="5">
        <v>7</v>
      </c>
      <c r="MN10" s="5">
        <v>8</v>
      </c>
      <c r="MO10" s="5">
        <v>9</v>
      </c>
      <c r="MP10" s="6">
        <v>10</v>
      </c>
      <c r="MQ10" s="323">
        <v>11</v>
      </c>
      <c r="MR10" s="323">
        <v>12</v>
      </c>
      <c r="MS10" s="323">
        <v>13</v>
      </c>
      <c r="MT10" s="323">
        <v>14</v>
      </c>
    </row>
    <row r="11" spans="1:359" ht="13.5" thickBot="1" x14ac:dyDescent="0.25">
      <c r="B11" s="405" t="s">
        <v>12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6"/>
      <c r="O11" s="406"/>
      <c r="P11" s="406"/>
      <c r="Q11" s="406"/>
      <c r="R11" s="406"/>
      <c r="S11" s="406"/>
      <c r="T11" s="406"/>
      <c r="U11" s="406"/>
      <c r="V11" s="406"/>
      <c r="W11" s="406"/>
      <c r="X11" s="406"/>
      <c r="Y11" s="406"/>
      <c r="Z11" s="406"/>
      <c r="AA11" s="406"/>
      <c r="AB11" s="406"/>
      <c r="AC11" s="406"/>
      <c r="AD11" s="406"/>
      <c r="AE11" s="406"/>
      <c r="AF11" s="406"/>
      <c r="AG11" s="406"/>
      <c r="AH11" s="406"/>
      <c r="AI11" s="406"/>
      <c r="AJ11" s="406"/>
      <c r="AK11" s="406"/>
      <c r="AL11" s="406"/>
      <c r="AM11" s="406"/>
      <c r="AN11" s="406"/>
      <c r="AO11" s="406"/>
      <c r="AP11" s="406"/>
      <c r="AQ11" s="406"/>
      <c r="AR11" s="406"/>
      <c r="AS11" s="406"/>
      <c r="AT11" s="406"/>
      <c r="AU11" s="406"/>
      <c r="AV11" s="406"/>
      <c r="AW11" s="406"/>
      <c r="AX11" s="406"/>
      <c r="AY11" s="406"/>
      <c r="AZ11" s="406"/>
      <c r="BA11" s="406"/>
      <c r="BB11" s="406"/>
      <c r="BC11" s="406"/>
      <c r="BD11" s="406"/>
      <c r="BE11" s="406"/>
      <c r="BF11" s="406"/>
      <c r="BG11" s="406"/>
      <c r="BH11" s="406"/>
      <c r="BI11" s="406"/>
      <c r="BJ11" s="406"/>
      <c r="BK11" s="406"/>
      <c r="BL11" s="406"/>
      <c r="BM11" s="406"/>
      <c r="BN11" s="406"/>
      <c r="BO11" s="406"/>
      <c r="BP11" s="406"/>
      <c r="BQ11" s="406"/>
      <c r="BR11" s="406"/>
      <c r="BS11" s="406"/>
      <c r="BT11" s="406"/>
      <c r="BU11" s="406"/>
      <c r="BV11" s="406"/>
      <c r="BW11" s="406"/>
      <c r="BX11" s="406"/>
      <c r="BY11" s="406"/>
      <c r="BZ11" s="406"/>
      <c r="CA11" s="406"/>
      <c r="CB11" s="406"/>
      <c r="CC11" s="406"/>
      <c r="CD11" s="406"/>
      <c r="CE11" s="406"/>
      <c r="CF11" s="406"/>
      <c r="CG11" s="406"/>
      <c r="CH11" s="406"/>
      <c r="CI11" s="406"/>
      <c r="CJ11" s="406"/>
      <c r="CK11" s="406"/>
      <c r="CL11" s="406"/>
      <c r="CM11" s="406"/>
      <c r="CN11" s="406"/>
      <c r="CO11" s="406"/>
      <c r="CP11" s="406"/>
      <c r="CQ11" s="406"/>
      <c r="CR11" s="406"/>
      <c r="CS11" s="406"/>
      <c r="CT11" s="406"/>
      <c r="CU11" s="406"/>
      <c r="CV11" s="406"/>
      <c r="CW11" s="406"/>
      <c r="CX11" s="406"/>
      <c r="CY11" s="406"/>
      <c r="CZ11" s="406"/>
      <c r="DA11" s="406"/>
      <c r="DB11" s="406"/>
      <c r="DC11" s="406"/>
      <c r="DD11" s="406"/>
      <c r="DE11" s="406"/>
      <c r="DF11" s="406"/>
      <c r="DG11" s="406"/>
      <c r="DH11" s="357">
        <f>AI44</f>
        <v>0.25</v>
      </c>
      <c r="DI11" s="358"/>
      <c r="DJ11" s="364" t="e">
        <f>SUM(C12:C16)</f>
        <v>#DIV/0!</v>
      </c>
      <c r="DK11" s="410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42"/>
      <c r="EG11" s="327"/>
      <c r="EH11" s="327"/>
      <c r="EI11" s="327"/>
      <c r="EJ11" s="327"/>
      <c r="EK11" s="327"/>
      <c r="EL11" s="327"/>
      <c r="EM11" s="327"/>
      <c r="EN11" s="327"/>
      <c r="EO11" s="327"/>
      <c r="EP11" s="327"/>
      <c r="EQ11" s="327"/>
      <c r="ER11" s="327"/>
      <c r="ES11" s="327"/>
      <c r="ET11" s="327"/>
      <c r="EU11" s="327"/>
      <c r="EV11" s="327"/>
      <c r="EW11" s="327"/>
      <c r="EX11" s="327"/>
      <c r="EY11" s="327"/>
      <c r="EZ11" s="327"/>
      <c r="FA11" s="327"/>
      <c r="FB11" s="327"/>
      <c r="FC11" s="327"/>
      <c r="FD11" s="327"/>
      <c r="FE11" s="327"/>
      <c r="FF11" s="327"/>
      <c r="FG11" s="327"/>
      <c r="FH11" s="327"/>
      <c r="FI11" s="327"/>
      <c r="FJ11" s="327"/>
      <c r="FK11" s="327"/>
      <c r="FL11" s="327"/>
      <c r="FM11" s="327"/>
      <c r="FN11" s="327"/>
      <c r="FO11" s="327"/>
      <c r="FP11" s="327"/>
      <c r="FQ11" s="327"/>
      <c r="FR11" s="327"/>
      <c r="FS11" s="327"/>
      <c r="FT11" s="327"/>
      <c r="FU11" s="327"/>
      <c r="FV11" s="327"/>
      <c r="FW11" s="327"/>
      <c r="FX11" s="327"/>
      <c r="FY11" s="327"/>
      <c r="FZ11" s="327"/>
      <c r="GA11" s="327"/>
      <c r="GB11" s="327"/>
      <c r="GC11" s="327"/>
      <c r="GD11" s="327"/>
      <c r="GE11" s="327"/>
      <c r="GF11" s="327"/>
      <c r="GG11" s="327"/>
      <c r="GH11" s="327"/>
      <c r="GI11" s="327"/>
      <c r="GJ11" s="327"/>
      <c r="GK11" s="327"/>
      <c r="GL11" s="327"/>
      <c r="GM11" s="327"/>
      <c r="GN11" s="327"/>
      <c r="GO11" s="327"/>
      <c r="GP11" s="327"/>
      <c r="GQ11" s="327"/>
      <c r="GR11" s="327"/>
      <c r="GS11" s="327"/>
      <c r="GT11" s="327"/>
      <c r="GU11" s="327"/>
      <c r="GV11" s="327"/>
      <c r="GW11" s="327"/>
      <c r="GX11" s="327"/>
      <c r="GY11" s="327"/>
      <c r="GZ11" s="327"/>
      <c r="HA11" s="327"/>
      <c r="HB11" s="327"/>
      <c r="HC11" s="327"/>
      <c r="HD11" s="327"/>
      <c r="HE11" s="327"/>
      <c r="HF11" s="327"/>
      <c r="HG11" s="327"/>
      <c r="HH11" s="327"/>
      <c r="HI11" s="327"/>
      <c r="HJ11" s="327"/>
      <c r="HK11" s="327"/>
      <c r="HL11" s="327"/>
      <c r="HM11" s="327"/>
      <c r="HN11" s="327"/>
      <c r="HO11" s="327"/>
      <c r="HP11" s="327"/>
      <c r="HQ11" s="327"/>
      <c r="HR11" s="327"/>
      <c r="HS11" s="327"/>
      <c r="HT11" s="327"/>
      <c r="HU11" s="327"/>
      <c r="HV11" s="327"/>
      <c r="HW11" s="327"/>
      <c r="HX11" s="327"/>
      <c r="HY11" s="327"/>
      <c r="HZ11" s="327"/>
      <c r="IA11" s="327"/>
      <c r="IB11" s="327"/>
      <c r="IC11" s="327"/>
      <c r="ID11" s="327"/>
      <c r="IE11" s="327"/>
      <c r="IF11" s="327"/>
      <c r="IG11" s="327"/>
      <c r="IH11" s="327"/>
      <c r="II11" s="327"/>
      <c r="IJ11" s="327"/>
      <c r="IK11" s="327"/>
      <c r="IL11" s="327"/>
      <c r="IM11" s="327"/>
      <c r="IN11" s="327"/>
      <c r="IO11" s="327"/>
      <c r="IP11" s="327"/>
      <c r="IQ11" s="327"/>
      <c r="IR11" s="327"/>
      <c r="IS11" s="327"/>
      <c r="IT11" s="327"/>
      <c r="IU11" s="327"/>
      <c r="IV11" s="327"/>
      <c r="IW11" s="327"/>
      <c r="IX11" s="327"/>
      <c r="IY11" s="327"/>
      <c r="IZ11" s="327"/>
      <c r="JA11" s="327"/>
      <c r="JB11" s="327"/>
      <c r="JC11" s="327"/>
      <c r="JD11" s="327"/>
      <c r="JE11" s="327"/>
      <c r="JF11" s="327"/>
      <c r="JG11" s="327"/>
      <c r="JH11" s="327"/>
      <c r="JI11" s="327"/>
      <c r="JJ11" s="327"/>
      <c r="JK11" s="327"/>
      <c r="JL11" s="327"/>
      <c r="JM11" s="327"/>
      <c r="JN11" s="327"/>
      <c r="JO11" s="327"/>
      <c r="JP11" s="327"/>
      <c r="JQ11" s="327"/>
      <c r="JR11" s="327"/>
      <c r="JS11" s="327"/>
      <c r="JT11" s="327"/>
      <c r="JU11" s="327"/>
      <c r="JV11" s="327"/>
      <c r="JW11" s="327"/>
      <c r="JX11" s="327"/>
      <c r="JY11" s="327"/>
      <c r="JZ11" s="327"/>
      <c r="KA11" s="327"/>
      <c r="KB11" s="327"/>
      <c r="KC11" s="327"/>
      <c r="KD11" s="327"/>
      <c r="KE11" s="327"/>
      <c r="KF11" s="327"/>
      <c r="KG11" s="327"/>
      <c r="KH11" s="327"/>
      <c r="KI11" s="327"/>
      <c r="KJ11" s="327"/>
      <c r="KK11" s="327"/>
      <c r="KL11" s="327"/>
      <c r="KM11" s="327"/>
      <c r="KN11" s="327"/>
      <c r="KO11" s="327"/>
      <c r="KP11" s="327"/>
      <c r="KQ11" s="327"/>
      <c r="KR11" s="327"/>
      <c r="KS11" s="327"/>
      <c r="KT11" s="327"/>
      <c r="KU11" s="327"/>
      <c r="KV11" s="327"/>
      <c r="KW11" s="327"/>
      <c r="KX11" s="327"/>
      <c r="KY11" s="327"/>
      <c r="KZ11" s="327"/>
      <c r="LA11" s="327"/>
      <c r="LB11" s="327"/>
      <c r="LC11" s="327"/>
      <c r="LD11" s="327"/>
      <c r="LE11" s="327"/>
      <c r="LF11" s="327"/>
      <c r="LG11" s="327"/>
      <c r="LH11" s="327"/>
      <c r="LI11" s="327"/>
      <c r="LJ11" s="327"/>
      <c r="LK11" s="327"/>
      <c r="LL11" s="327"/>
      <c r="LM11" s="327"/>
      <c r="LN11" s="327"/>
      <c r="LO11" s="327"/>
      <c r="LP11" s="327"/>
      <c r="LQ11" s="327"/>
      <c r="LR11" s="327"/>
      <c r="LS11" s="327"/>
      <c r="LT11" s="327"/>
      <c r="LU11" s="327"/>
      <c r="LV11" s="327"/>
      <c r="LW11" s="327"/>
      <c r="LX11" s="327"/>
      <c r="LY11" s="327"/>
      <c r="LZ11" s="327"/>
      <c r="MC11" s="405" t="s">
        <v>12</v>
      </c>
      <c r="MD11" s="406"/>
      <c r="ME11" s="406"/>
      <c r="MF11" s="406"/>
      <c r="MG11" s="406"/>
      <c r="MH11" s="406"/>
      <c r="MI11" s="406"/>
      <c r="MJ11" s="406"/>
      <c r="MK11" s="406"/>
      <c r="ML11" s="125"/>
      <c r="MM11" s="357">
        <f>AI44</f>
        <v>0.25</v>
      </c>
      <c r="MN11" s="358"/>
      <c r="MO11" s="364" t="e">
        <f>SUM(MD12:MD16)</f>
        <v>#DIV/0!</v>
      </c>
      <c r="MP11" s="365" t="e">
        <f>AVERAGE(MF12:MF16)</f>
        <v>#DIV/0!</v>
      </c>
    </row>
    <row r="12" spans="1:359" x14ac:dyDescent="0.2">
      <c r="B12" s="8"/>
      <c r="C12" s="11" t="e">
        <f>AVERAGE(F12:IM12)</f>
        <v>#DIV/0!</v>
      </c>
      <c r="D12" s="10" t="e">
        <f>RANK(C12,$C$12:$C$16)</f>
        <v>#DIV/0!</v>
      </c>
      <c r="E12" s="13" t="e">
        <f>RANK(C12,$C$12:$C$34)</f>
        <v>#DIV/0!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40"/>
      <c r="DU12" s="1"/>
      <c r="DV12" s="1"/>
      <c r="DW12" s="1"/>
      <c r="DX12" s="1"/>
      <c r="DY12" s="1"/>
      <c r="DZ12" s="40"/>
      <c r="EA12" s="40"/>
      <c r="EB12" s="40"/>
      <c r="EC12" s="40"/>
      <c r="ED12" s="1"/>
      <c r="EE12" s="1"/>
      <c r="EF12" s="1"/>
      <c r="EG12" s="1"/>
      <c r="EH12" s="40"/>
      <c r="EI12" s="1"/>
      <c r="EJ12" s="1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  <c r="IV12" s="40"/>
      <c r="IW12" s="40"/>
      <c r="IX12" s="40"/>
      <c r="IY12" s="40"/>
      <c r="IZ12" s="40"/>
      <c r="JA12" s="40"/>
      <c r="JB12" s="40"/>
      <c r="JC12" s="40"/>
      <c r="JD12" s="40"/>
      <c r="JE12" s="40"/>
      <c r="JF12" s="40"/>
      <c r="JG12" s="40"/>
      <c r="JH12" s="40"/>
      <c r="JI12" s="40"/>
      <c r="JJ12" s="40"/>
      <c r="JK12" s="40"/>
      <c r="JL12" s="40"/>
      <c r="JM12" s="40"/>
      <c r="JN12" s="40"/>
      <c r="JO12" s="40"/>
      <c r="JP12" s="40"/>
      <c r="JQ12" s="40"/>
      <c r="JR12" s="40"/>
      <c r="JS12" s="40"/>
      <c r="JT12" s="40"/>
      <c r="JU12" s="40"/>
      <c r="JV12" s="40"/>
      <c r="JW12" s="40"/>
      <c r="JX12" s="40"/>
      <c r="JY12" s="40"/>
      <c r="JZ12" s="40"/>
      <c r="KA12" s="40"/>
      <c r="KB12" s="40"/>
      <c r="KC12" s="40"/>
      <c r="KD12" s="40"/>
      <c r="KE12" s="40"/>
      <c r="KF12" s="40"/>
      <c r="KG12" s="40"/>
      <c r="KH12" s="40"/>
      <c r="KI12" s="40"/>
      <c r="KJ12" s="40"/>
      <c r="KK12" s="40"/>
      <c r="KL12" s="40"/>
      <c r="KM12" s="40"/>
      <c r="KN12" s="40"/>
      <c r="KO12" s="40"/>
      <c r="KP12" s="40"/>
      <c r="KQ12" s="40"/>
      <c r="KR12" s="40"/>
      <c r="KS12" s="40"/>
      <c r="KT12" s="40"/>
      <c r="KU12" s="40"/>
      <c r="KV12" s="40"/>
      <c r="KW12" s="40"/>
      <c r="KX12" s="40"/>
      <c r="KY12" s="40"/>
      <c r="KZ12" s="40"/>
      <c r="LA12" s="40"/>
      <c r="LB12" s="40"/>
      <c r="LC12" s="40"/>
      <c r="LD12" s="40"/>
      <c r="LE12" s="40"/>
      <c r="LF12" s="40"/>
      <c r="LG12" s="40"/>
      <c r="LH12" s="40"/>
      <c r="LI12" s="40"/>
      <c r="LJ12" s="40"/>
      <c r="LK12" s="40"/>
      <c r="LL12" s="40"/>
      <c r="LM12" s="40"/>
      <c r="LN12" s="40"/>
      <c r="LO12" s="40"/>
      <c r="LP12" s="40"/>
      <c r="LQ12" s="40"/>
      <c r="LR12" s="40"/>
      <c r="LS12" s="40"/>
      <c r="LT12" s="40"/>
      <c r="LU12" s="40"/>
      <c r="LV12" s="40"/>
      <c r="LW12" s="40"/>
      <c r="LX12" s="40"/>
      <c r="LY12" s="40"/>
      <c r="LZ12" s="40"/>
      <c r="MC12" s="8">
        <v>1</v>
      </c>
      <c r="MD12" s="9" t="e">
        <f>AVERAGE(MG12:MU12)</f>
        <v>#DIV/0!</v>
      </c>
      <c r="ME12" s="10" t="e">
        <f>RANK(MD12,$MD$12:$MD$16)</f>
        <v>#DIV/0!</v>
      </c>
      <c r="MF12" s="10" t="e">
        <f>RANK(MD12,$MD$12:$MD$34)</f>
        <v>#DIV/0!</v>
      </c>
      <c r="MG12" s="40"/>
      <c r="MH12" s="40"/>
      <c r="MI12" s="40"/>
      <c r="MJ12" s="40"/>
      <c r="MK12" s="40"/>
      <c r="ML12" s="40"/>
      <c r="MM12" s="40"/>
      <c r="MN12" s="40"/>
      <c r="MO12" s="40"/>
      <c r="MP12" s="40"/>
      <c r="MQ12" s="40"/>
      <c r="MR12" s="40"/>
      <c r="MS12" s="40"/>
      <c r="MT12" s="40"/>
      <c r="MU12" s="40"/>
    </row>
    <row r="13" spans="1:359" x14ac:dyDescent="0.2">
      <c r="B13" s="8"/>
      <c r="C13" s="11" t="e">
        <f t="shared" ref="C13:C16" si="0">AVERAGE(F13:IM13)</f>
        <v>#DIV/0!</v>
      </c>
      <c r="D13" s="10" t="e">
        <f t="shared" ref="D13:D16" si="1">RANK(C13,$C$12:$C$16)</f>
        <v>#DIV/0!</v>
      </c>
      <c r="E13" s="10" t="e">
        <f>RANK(C13,$C$12:$C$34)</f>
        <v>#DIV/0!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40"/>
      <c r="DU13" s="1"/>
      <c r="DV13" s="1"/>
      <c r="DW13" s="1"/>
      <c r="DX13" s="1"/>
      <c r="DY13" s="1"/>
      <c r="DZ13" s="40"/>
      <c r="EA13" s="40"/>
      <c r="EB13" s="40"/>
      <c r="EC13" s="40"/>
      <c r="ED13" s="1"/>
      <c r="EE13" s="1"/>
      <c r="EF13" s="1"/>
      <c r="EG13" s="1"/>
      <c r="EH13" s="40"/>
      <c r="EI13" s="1"/>
      <c r="EJ13" s="1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C13" s="8">
        <v>2</v>
      </c>
      <c r="MD13" s="9" t="e">
        <f t="shared" ref="MD13:MD16" si="2">AVERAGE(MG13:MU13)</f>
        <v>#DIV/0!</v>
      </c>
      <c r="ME13" s="10" t="e">
        <f>RANK(MD13,$MD$12:$MD$16)</f>
        <v>#DIV/0!</v>
      </c>
      <c r="MF13" s="10" t="e">
        <f>RANK(MD13,$MD$12:$MD$34)</f>
        <v>#DIV/0!</v>
      </c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</row>
    <row r="14" spans="1:359" x14ac:dyDescent="0.2">
      <c r="B14" s="8"/>
      <c r="C14" s="11" t="e">
        <f t="shared" si="0"/>
        <v>#DIV/0!</v>
      </c>
      <c r="D14" s="10" t="e">
        <f t="shared" si="1"/>
        <v>#DIV/0!</v>
      </c>
      <c r="E14" s="10" t="e">
        <f>RANK(C14,$C$12:$C$34)</f>
        <v>#DIV/0!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40"/>
      <c r="DU14" s="1"/>
      <c r="DV14" s="1"/>
      <c r="DW14" s="1"/>
      <c r="DX14" s="1"/>
      <c r="DY14" s="1"/>
      <c r="DZ14" s="40"/>
      <c r="EA14" s="40"/>
      <c r="EB14" s="40"/>
      <c r="EC14" s="40"/>
      <c r="ED14" s="1"/>
      <c r="EE14" s="1"/>
      <c r="EF14" s="1"/>
      <c r="EG14" s="1"/>
      <c r="EH14" s="40"/>
      <c r="EI14" s="1"/>
      <c r="EJ14" s="1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0"/>
      <c r="JX14" s="40"/>
      <c r="JY14" s="40"/>
      <c r="JZ14" s="40"/>
      <c r="KA14" s="40"/>
      <c r="KB14" s="40"/>
      <c r="KC14" s="40"/>
      <c r="KD14" s="40"/>
      <c r="KE14" s="40"/>
      <c r="KF14" s="40"/>
      <c r="KG14" s="40"/>
      <c r="KH14" s="40"/>
      <c r="KI14" s="40"/>
      <c r="KJ14" s="40"/>
      <c r="KK14" s="40"/>
      <c r="KL14" s="40"/>
      <c r="KM14" s="40"/>
      <c r="KN14" s="40"/>
      <c r="KO14" s="40"/>
      <c r="KP14" s="40"/>
      <c r="KQ14" s="40"/>
      <c r="KR14" s="40"/>
      <c r="KS14" s="40"/>
      <c r="KT14" s="40"/>
      <c r="KU14" s="40"/>
      <c r="KV14" s="40"/>
      <c r="KW14" s="40"/>
      <c r="KX14" s="40"/>
      <c r="KY14" s="40"/>
      <c r="KZ14" s="40"/>
      <c r="LA14" s="40"/>
      <c r="LB14" s="40"/>
      <c r="LC14" s="40"/>
      <c r="LD14" s="40"/>
      <c r="LE14" s="40"/>
      <c r="LF14" s="40"/>
      <c r="LG14" s="40"/>
      <c r="LH14" s="40"/>
      <c r="LI14" s="40"/>
      <c r="LJ14" s="40"/>
      <c r="LK14" s="40"/>
      <c r="LL14" s="40"/>
      <c r="LM14" s="40"/>
      <c r="LN14" s="40"/>
      <c r="LO14" s="40"/>
      <c r="LP14" s="40"/>
      <c r="LQ14" s="40"/>
      <c r="LR14" s="40"/>
      <c r="LS14" s="40"/>
      <c r="LT14" s="40"/>
      <c r="LU14" s="40"/>
      <c r="LV14" s="40"/>
      <c r="LW14" s="40"/>
      <c r="LX14" s="40"/>
      <c r="LY14" s="40"/>
      <c r="LZ14" s="40"/>
      <c r="MC14" s="8">
        <v>3</v>
      </c>
      <c r="MD14" s="9" t="e">
        <f t="shared" si="2"/>
        <v>#DIV/0!</v>
      </c>
      <c r="ME14" s="10" t="e">
        <f>RANK(MD14,$MD$12:$MD$16)</f>
        <v>#DIV/0!</v>
      </c>
      <c r="MF14" s="10" t="e">
        <f>RANK(MD14,$MD$12:$MD$34)</f>
        <v>#DIV/0!</v>
      </c>
      <c r="MG14" s="40"/>
      <c r="MH14" s="40"/>
      <c r="MI14" s="40"/>
      <c r="MJ14" s="40"/>
      <c r="MK14" s="40"/>
      <c r="ML14" s="40"/>
      <c r="MM14" s="40"/>
      <c r="MN14" s="40"/>
      <c r="MO14" s="40"/>
      <c r="MP14" s="40"/>
      <c r="MQ14" s="40"/>
      <c r="MR14" s="40"/>
      <c r="MS14" s="40"/>
      <c r="MT14" s="40"/>
      <c r="MU14" s="40"/>
    </row>
    <row r="15" spans="1:359" x14ac:dyDescent="0.2">
      <c r="B15" s="8"/>
      <c r="C15" s="11" t="e">
        <f t="shared" si="0"/>
        <v>#DIV/0!</v>
      </c>
      <c r="D15" s="10" t="e">
        <f t="shared" si="1"/>
        <v>#DIV/0!</v>
      </c>
      <c r="E15" s="10" t="e">
        <f>RANK(C15,$C$12:$C$34)</f>
        <v>#DIV/0!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40"/>
      <c r="DU15" s="1"/>
      <c r="DV15" s="1"/>
      <c r="DW15" s="1"/>
      <c r="DX15" s="1"/>
      <c r="DY15" s="1"/>
      <c r="DZ15" s="40"/>
      <c r="EA15" s="40"/>
      <c r="EB15" s="40"/>
      <c r="EC15" s="40"/>
      <c r="ED15" s="1"/>
      <c r="EE15" s="1"/>
      <c r="EF15" s="1"/>
      <c r="EG15" s="1"/>
      <c r="EH15" s="40"/>
      <c r="EI15" s="1"/>
      <c r="EJ15" s="1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  <c r="IV15" s="40"/>
      <c r="IW15" s="40"/>
      <c r="IX15" s="40"/>
      <c r="IY15" s="40"/>
      <c r="IZ15" s="40"/>
      <c r="JA15" s="40"/>
      <c r="JB15" s="40"/>
      <c r="JC15" s="40"/>
      <c r="JD15" s="40"/>
      <c r="JE15" s="40"/>
      <c r="JF15" s="40"/>
      <c r="JG15" s="40"/>
      <c r="JH15" s="40"/>
      <c r="JI15" s="40"/>
      <c r="JJ15" s="40"/>
      <c r="JK15" s="40"/>
      <c r="JL15" s="40"/>
      <c r="JM15" s="40"/>
      <c r="JN15" s="40"/>
      <c r="JO15" s="40"/>
      <c r="JP15" s="40"/>
      <c r="JQ15" s="40"/>
      <c r="JR15" s="40"/>
      <c r="JS15" s="40"/>
      <c r="JT15" s="40"/>
      <c r="JU15" s="40"/>
      <c r="JV15" s="40"/>
      <c r="JW15" s="40"/>
      <c r="JX15" s="40"/>
      <c r="JY15" s="40"/>
      <c r="JZ15" s="40"/>
      <c r="KA15" s="40"/>
      <c r="KB15" s="40"/>
      <c r="KC15" s="40"/>
      <c r="KD15" s="40"/>
      <c r="KE15" s="40"/>
      <c r="KF15" s="40"/>
      <c r="KG15" s="40"/>
      <c r="KH15" s="40"/>
      <c r="KI15" s="40"/>
      <c r="KJ15" s="40"/>
      <c r="KK15" s="40"/>
      <c r="KL15" s="40"/>
      <c r="KM15" s="40"/>
      <c r="KN15" s="40"/>
      <c r="KO15" s="40"/>
      <c r="KP15" s="40"/>
      <c r="KQ15" s="40"/>
      <c r="KR15" s="40"/>
      <c r="KS15" s="40"/>
      <c r="KT15" s="40"/>
      <c r="KU15" s="40"/>
      <c r="KV15" s="40"/>
      <c r="KW15" s="40"/>
      <c r="KX15" s="40"/>
      <c r="KY15" s="40"/>
      <c r="KZ15" s="40"/>
      <c r="LA15" s="40"/>
      <c r="LB15" s="40"/>
      <c r="LC15" s="40"/>
      <c r="LD15" s="40"/>
      <c r="LE15" s="40"/>
      <c r="LF15" s="40"/>
      <c r="LG15" s="40"/>
      <c r="LH15" s="40"/>
      <c r="LI15" s="40"/>
      <c r="LJ15" s="40"/>
      <c r="LK15" s="40"/>
      <c r="LL15" s="40"/>
      <c r="LM15" s="40"/>
      <c r="LN15" s="40"/>
      <c r="LO15" s="40"/>
      <c r="LP15" s="40"/>
      <c r="LQ15" s="40"/>
      <c r="LR15" s="40"/>
      <c r="LS15" s="40"/>
      <c r="LT15" s="40"/>
      <c r="LU15" s="40"/>
      <c r="LV15" s="40"/>
      <c r="LW15" s="40"/>
      <c r="LX15" s="40"/>
      <c r="LY15" s="40"/>
      <c r="LZ15" s="40"/>
      <c r="MC15" s="8">
        <v>4</v>
      </c>
      <c r="MD15" s="9" t="e">
        <f t="shared" si="2"/>
        <v>#DIV/0!</v>
      </c>
      <c r="ME15" s="10" t="e">
        <f>RANK(MD15,$MD$12:$MD$16)</f>
        <v>#DIV/0!</v>
      </c>
      <c r="MF15" s="10" t="e">
        <f>RANK(MD15,$MD$12:$MD$34)</f>
        <v>#DIV/0!</v>
      </c>
      <c r="MG15" s="40"/>
      <c r="MH15" s="40"/>
      <c r="MI15" s="40"/>
      <c r="MJ15" s="40"/>
      <c r="MK15" s="40"/>
      <c r="ML15" s="40"/>
      <c r="MM15" s="40"/>
      <c r="MN15" s="40"/>
      <c r="MO15" s="40"/>
      <c r="MP15" s="40"/>
      <c r="MQ15" s="40"/>
      <c r="MR15" s="40"/>
      <c r="MS15" s="40"/>
      <c r="MT15" s="40"/>
      <c r="MU15" s="40"/>
    </row>
    <row r="16" spans="1:359" ht="13.5" thickBot="1" x14ac:dyDescent="0.25">
      <c r="B16" s="8"/>
      <c r="C16" s="11" t="e">
        <f t="shared" si="0"/>
        <v>#DIV/0!</v>
      </c>
      <c r="D16" s="10" t="e">
        <f t="shared" si="1"/>
        <v>#DIV/0!</v>
      </c>
      <c r="E16" s="10" t="e">
        <f>RANK(C16,$C$12:$C$34)</f>
        <v>#DIV/0!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40"/>
      <c r="DU16" s="1"/>
      <c r="DV16" s="1"/>
      <c r="DW16" s="1"/>
      <c r="DX16" s="1"/>
      <c r="DY16" s="1"/>
      <c r="DZ16" s="40"/>
      <c r="EA16" s="40"/>
      <c r="EB16" s="40"/>
      <c r="EC16" s="40"/>
      <c r="ED16" s="1"/>
      <c r="EE16" s="1"/>
      <c r="EF16" s="1"/>
      <c r="EG16" s="1"/>
      <c r="EH16" s="40"/>
      <c r="EI16" s="1"/>
      <c r="EJ16" s="1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  <c r="IV16" s="40"/>
      <c r="IW16" s="40"/>
      <c r="IX16" s="40"/>
      <c r="IY16" s="40"/>
      <c r="IZ16" s="40"/>
      <c r="JA16" s="40"/>
      <c r="JB16" s="40"/>
      <c r="JC16" s="40"/>
      <c r="JD16" s="40"/>
      <c r="JE16" s="40"/>
      <c r="JF16" s="40"/>
      <c r="JG16" s="40"/>
      <c r="JH16" s="40"/>
      <c r="JI16" s="40"/>
      <c r="JJ16" s="40"/>
      <c r="JK16" s="40"/>
      <c r="JL16" s="40"/>
      <c r="JM16" s="40"/>
      <c r="JN16" s="40"/>
      <c r="JO16" s="40"/>
      <c r="JP16" s="40"/>
      <c r="JQ16" s="40"/>
      <c r="JR16" s="40"/>
      <c r="JS16" s="40"/>
      <c r="JT16" s="40"/>
      <c r="JU16" s="40"/>
      <c r="JV16" s="40"/>
      <c r="JW16" s="40"/>
      <c r="JX16" s="40"/>
      <c r="JY16" s="40"/>
      <c r="JZ16" s="40"/>
      <c r="KA16" s="40"/>
      <c r="KB16" s="40"/>
      <c r="KC16" s="40"/>
      <c r="KD16" s="40"/>
      <c r="KE16" s="40"/>
      <c r="KF16" s="40"/>
      <c r="KG16" s="40"/>
      <c r="KH16" s="40"/>
      <c r="KI16" s="40"/>
      <c r="KJ16" s="40"/>
      <c r="KK16" s="40"/>
      <c r="KL16" s="40"/>
      <c r="KM16" s="40"/>
      <c r="KN16" s="40"/>
      <c r="KO16" s="40"/>
      <c r="KP16" s="40"/>
      <c r="KQ16" s="40"/>
      <c r="KR16" s="40"/>
      <c r="KS16" s="40"/>
      <c r="KT16" s="40"/>
      <c r="KU16" s="40"/>
      <c r="KV16" s="40"/>
      <c r="KW16" s="40"/>
      <c r="KX16" s="40"/>
      <c r="KY16" s="40"/>
      <c r="KZ16" s="40"/>
      <c r="LA16" s="40"/>
      <c r="LB16" s="40"/>
      <c r="LC16" s="40"/>
      <c r="LD16" s="40"/>
      <c r="LE16" s="40"/>
      <c r="LF16" s="40"/>
      <c r="LG16" s="40"/>
      <c r="LH16" s="40"/>
      <c r="LI16" s="40"/>
      <c r="LJ16" s="40"/>
      <c r="LK16" s="40"/>
      <c r="LL16" s="40"/>
      <c r="LM16" s="40"/>
      <c r="LN16" s="40"/>
      <c r="LO16" s="40"/>
      <c r="LP16" s="40"/>
      <c r="LQ16" s="40"/>
      <c r="LR16" s="40"/>
      <c r="LS16" s="40"/>
      <c r="LT16" s="40"/>
      <c r="LU16" s="40"/>
      <c r="LV16" s="40"/>
      <c r="LW16" s="40"/>
      <c r="LX16" s="40"/>
      <c r="LY16" s="40"/>
      <c r="LZ16" s="40"/>
      <c r="MC16" s="8">
        <v>5</v>
      </c>
      <c r="MD16" s="9" t="e">
        <f t="shared" si="2"/>
        <v>#DIV/0!</v>
      </c>
      <c r="ME16" s="10" t="e">
        <f>RANK(MD16,$MD$12:$MD$16)</f>
        <v>#DIV/0!</v>
      </c>
      <c r="MF16" s="10" t="e">
        <f>RANK(MD16,$MD$12:$MD$34)</f>
        <v>#DIV/0!</v>
      </c>
      <c r="MG16" s="40"/>
      <c r="MH16" s="40"/>
      <c r="MI16" s="40"/>
      <c r="MJ16" s="40"/>
      <c r="MK16" s="40"/>
      <c r="ML16" s="40"/>
      <c r="MM16" s="40"/>
      <c r="MN16" s="40"/>
      <c r="MO16" s="40"/>
      <c r="MP16" s="40"/>
      <c r="MQ16" s="40"/>
      <c r="MR16" s="40"/>
      <c r="MS16" s="40"/>
      <c r="MT16" s="40"/>
      <c r="MU16" s="40"/>
    </row>
    <row r="17" spans="2:359" ht="13.5" thickBot="1" x14ac:dyDescent="0.25">
      <c r="B17" s="405">
        <v>5</v>
      </c>
      <c r="C17" s="406"/>
      <c r="D17" s="406"/>
      <c r="E17" s="406"/>
      <c r="F17" s="406"/>
      <c r="G17" s="406"/>
      <c r="H17" s="406"/>
      <c r="I17" s="406"/>
      <c r="J17" s="406"/>
      <c r="K17" s="406"/>
      <c r="L17" s="406"/>
      <c r="M17" s="406"/>
      <c r="N17" s="406"/>
      <c r="O17" s="406"/>
      <c r="P17" s="406"/>
      <c r="Q17" s="406"/>
      <c r="R17" s="406"/>
      <c r="S17" s="406"/>
      <c r="T17" s="406"/>
      <c r="U17" s="406"/>
      <c r="V17" s="406"/>
      <c r="W17" s="406"/>
      <c r="X17" s="406"/>
      <c r="Y17" s="406"/>
      <c r="Z17" s="406"/>
      <c r="AA17" s="406"/>
      <c r="AB17" s="406"/>
      <c r="AC17" s="406"/>
      <c r="AD17" s="406"/>
      <c r="AE17" s="406"/>
      <c r="AF17" s="406"/>
      <c r="AG17" s="406"/>
      <c r="AH17" s="406"/>
      <c r="AI17" s="406"/>
      <c r="AJ17" s="406"/>
      <c r="AK17" s="406"/>
      <c r="AL17" s="406"/>
      <c r="AM17" s="406"/>
      <c r="AN17" s="406"/>
      <c r="AO17" s="406"/>
      <c r="AP17" s="406"/>
      <c r="AQ17" s="406"/>
      <c r="AR17" s="406"/>
      <c r="AS17" s="406"/>
      <c r="AT17" s="406"/>
      <c r="AU17" s="406"/>
      <c r="AV17" s="406"/>
      <c r="AW17" s="406"/>
      <c r="AX17" s="406"/>
      <c r="AY17" s="406"/>
      <c r="AZ17" s="406"/>
      <c r="BA17" s="406"/>
      <c r="BB17" s="406"/>
      <c r="BC17" s="406"/>
      <c r="BD17" s="406"/>
      <c r="BE17" s="406"/>
      <c r="BF17" s="406"/>
      <c r="BG17" s="406"/>
      <c r="BH17" s="406"/>
      <c r="BI17" s="406"/>
      <c r="BJ17" s="406"/>
      <c r="BK17" s="406"/>
      <c r="BL17" s="406"/>
      <c r="BM17" s="406"/>
      <c r="BN17" s="406"/>
      <c r="BO17" s="406"/>
      <c r="BP17" s="406"/>
      <c r="BQ17" s="406"/>
      <c r="BR17" s="406"/>
      <c r="BS17" s="406"/>
      <c r="BT17" s="406"/>
      <c r="BU17" s="406"/>
      <c r="BV17" s="406"/>
      <c r="BW17" s="406"/>
      <c r="BX17" s="406"/>
      <c r="BY17" s="406"/>
      <c r="BZ17" s="406"/>
      <c r="CA17" s="406"/>
      <c r="CB17" s="406"/>
      <c r="CC17" s="406"/>
      <c r="CD17" s="406"/>
      <c r="CE17" s="406"/>
      <c r="CF17" s="406"/>
      <c r="CG17" s="406"/>
      <c r="CH17" s="406"/>
      <c r="CI17" s="406"/>
      <c r="CJ17" s="406"/>
      <c r="CK17" s="406"/>
      <c r="CL17" s="406"/>
      <c r="CM17" s="406"/>
      <c r="CN17" s="406"/>
      <c r="CO17" s="406"/>
      <c r="CP17" s="406"/>
      <c r="CQ17" s="406"/>
      <c r="CR17" s="406"/>
      <c r="CS17" s="406"/>
      <c r="CT17" s="406"/>
      <c r="CU17" s="406"/>
      <c r="CV17" s="406"/>
      <c r="CW17" s="406"/>
      <c r="CX17" s="406"/>
      <c r="CY17" s="406"/>
      <c r="CZ17" s="406"/>
      <c r="DA17" s="406"/>
      <c r="DB17" s="406"/>
      <c r="DC17" s="406"/>
      <c r="DD17" s="406"/>
      <c r="DE17" s="406"/>
      <c r="DF17" s="406"/>
      <c r="DG17" s="406"/>
      <c r="DH17" s="357">
        <f>AI50</f>
        <v>0.25</v>
      </c>
      <c r="DI17" s="358"/>
      <c r="DJ17" s="364" t="e">
        <f>SUM(C18:C22)</f>
        <v>#DIV/0!</v>
      </c>
      <c r="DK17" s="410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43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  <c r="JQ17" s="31"/>
      <c r="JR17" s="31"/>
      <c r="JS17" s="31"/>
      <c r="JT17" s="31"/>
      <c r="JU17" s="31"/>
      <c r="JV17" s="31"/>
      <c r="JW17" s="31"/>
      <c r="JX17" s="31"/>
      <c r="JY17" s="31"/>
      <c r="JZ17" s="31"/>
      <c r="KA17" s="31"/>
      <c r="KB17" s="31"/>
      <c r="KC17" s="31"/>
      <c r="KD17" s="31"/>
      <c r="KE17" s="31"/>
      <c r="KF17" s="31"/>
      <c r="KG17" s="31"/>
      <c r="KH17" s="31"/>
      <c r="KI17" s="31"/>
      <c r="KJ17" s="31"/>
      <c r="KK17" s="31"/>
      <c r="KL17" s="31"/>
      <c r="KM17" s="31"/>
      <c r="KN17" s="31"/>
      <c r="KO17" s="31"/>
      <c r="KP17" s="31"/>
      <c r="KQ17" s="31"/>
      <c r="KR17" s="31"/>
      <c r="KS17" s="31"/>
      <c r="KT17" s="31"/>
      <c r="KU17" s="31"/>
      <c r="KV17" s="31"/>
      <c r="KW17" s="31"/>
      <c r="KX17" s="31"/>
      <c r="KY17" s="31"/>
      <c r="KZ17" s="31"/>
      <c r="LA17" s="31"/>
      <c r="LB17" s="31"/>
      <c r="LC17" s="31"/>
      <c r="LD17" s="31"/>
      <c r="LE17" s="31"/>
      <c r="LF17" s="31"/>
      <c r="LG17" s="31"/>
      <c r="LH17" s="31"/>
      <c r="LI17" s="31"/>
      <c r="LJ17" s="31"/>
      <c r="LK17" s="31"/>
      <c r="LL17" s="31"/>
      <c r="LM17" s="31"/>
      <c r="LN17" s="31"/>
      <c r="LO17" s="31"/>
      <c r="LP17" s="31"/>
      <c r="LQ17" s="31"/>
      <c r="LR17" s="31"/>
      <c r="LS17" s="31"/>
      <c r="LT17" s="31"/>
      <c r="LU17" s="31"/>
      <c r="LV17" s="31"/>
      <c r="LW17" s="31"/>
      <c r="LX17" s="31"/>
      <c r="LY17" s="31"/>
      <c r="LZ17" s="31"/>
      <c r="MC17" s="405" t="s">
        <v>13</v>
      </c>
      <c r="MD17" s="406"/>
      <c r="ME17" s="406"/>
      <c r="MF17" s="406"/>
      <c r="MG17" s="406"/>
      <c r="MH17" s="406"/>
      <c r="MI17" s="406"/>
      <c r="MJ17" s="406"/>
      <c r="MK17" s="406"/>
      <c r="ML17" s="125"/>
      <c r="MM17" s="447">
        <f>AI50</f>
        <v>0.25</v>
      </c>
      <c r="MN17" s="358" t="e">
        <f>AVERAGE(MD18:MD22)</f>
        <v>#DIV/0!</v>
      </c>
      <c r="MO17" s="364" t="e">
        <f>SUM(MD18:MD22)</f>
        <v>#DIV/0!</v>
      </c>
      <c r="MP17" s="365" t="e">
        <f>AVERAGE(MF18:MF22)</f>
        <v>#DIV/0!</v>
      </c>
    </row>
    <row r="18" spans="2:359" x14ac:dyDescent="0.2">
      <c r="B18" s="8">
        <v>1</v>
      </c>
      <c r="C18" s="11" t="e">
        <f>AVERAGE(F18:IM18)</f>
        <v>#DIV/0!</v>
      </c>
      <c r="D18" s="10" t="e">
        <f>RANK(C18,$C$18:$C$22)</f>
        <v>#DIV/0!</v>
      </c>
      <c r="E18" s="13" t="e">
        <f>RANK(C18,$C$12:$C$34)</f>
        <v>#DIV/0!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40"/>
      <c r="DU18" s="1"/>
      <c r="DV18" s="1"/>
      <c r="DW18" s="1"/>
      <c r="DX18" s="1"/>
      <c r="DY18" s="1"/>
      <c r="DZ18" s="40"/>
      <c r="EA18" s="40"/>
      <c r="EB18" s="40"/>
      <c r="EC18" s="40"/>
      <c r="ED18" s="1"/>
      <c r="EE18" s="1"/>
      <c r="EF18" s="1"/>
      <c r="EG18" s="1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  <c r="IU18" s="40"/>
      <c r="IV18" s="40"/>
      <c r="IW18" s="40"/>
      <c r="IX18" s="40"/>
      <c r="IY18" s="40"/>
      <c r="IZ18" s="40"/>
      <c r="JA18" s="40"/>
      <c r="JB18" s="40"/>
      <c r="JC18" s="40"/>
      <c r="JD18" s="40"/>
      <c r="JE18" s="40"/>
      <c r="JF18" s="40"/>
      <c r="JG18" s="40"/>
      <c r="JH18" s="40"/>
      <c r="JI18" s="40"/>
      <c r="JJ18" s="40"/>
      <c r="JK18" s="40"/>
      <c r="JL18" s="40"/>
      <c r="JM18" s="40"/>
      <c r="JN18" s="40"/>
      <c r="JO18" s="40"/>
      <c r="JP18" s="40"/>
      <c r="JQ18" s="40"/>
      <c r="JR18" s="40"/>
      <c r="JS18" s="40"/>
      <c r="JT18" s="40"/>
      <c r="JU18" s="40"/>
      <c r="JV18" s="40"/>
      <c r="JW18" s="40"/>
      <c r="JX18" s="40"/>
      <c r="JY18" s="40"/>
      <c r="JZ18" s="40"/>
      <c r="KA18" s="40"/>
      <c r="KB18" s="40"/>
      <c r="KC18" s="40"/>
      <c r="KD18" s="40"/>
      <c r="KE18" s="40"/>
      <c r="KF18" s="40"/>
      <c r="KG18" s="40"/>
      <c r="KH18" s="40"/>
      <c r="KI18" s="40"/>
      <c r="KJ18" s="40"/>
      <c r="KK18" s="40"/>
      <c r="KL18" s="40"/>
      <c r="KM18" s="40"/>
      <c r="KN18" s="40"/>
      <c r="KO18" s="40"/>
      <c r="KP18" s="40"/>
      <c r="KQ18" s="40"/>
      <c r="KR18" s="40"/>
      <c r="KS18" s="40"/>
      <c r="KT18" s="40"/>
      <c r="KU18" s="40"/>
      <c r="KV18" s="40"/>
      <c r="KW18" s="40"/>
      <c r="KX18" s="40"/>
      <c r="KY18" s="40"/>
      <c r="KZ18" s="40"/>
      <c r="LA18" s="40"/>
      <c r="LB18" s="40"/>
      <c r="LC18" s="40"/>
      <c r="LD18" s="40"/>
      <c r="LE18" s="40"/>
      <c r="LF18" s="40"/>
      <c r="LG18" s="40"/>
      <c r="LH18" s="40"/>
      <c r="LI18" s="40"/>
      <c r="LJ18" s="40"/>
      <c r="LK18" s="40"/>
      <c r="LL18" s="40"/>
      <c r="LM18" s="40"/>
      <c r="LN18" s="40"/>
      <c r="LO18" s="40"/>
      <c r="LP18" s="40"/>
      <c r="LQ18" s="40"/>
      <c r="LR18" s="40"/>
      <c r="LS18" s="40"/>
      <c r="LT18" s="40"/>
      <c r="LU18" s="40"/>
      <c r="LV18" s="40"/>
      <c r="LW18" s="40"/>
      <c r="LX18" s="40"/>
      <c r="LY18" s="40"/>
      <c r="LZ18" s="40"/>
      <c r="MC18" s="8">
        <v>1</v>
      </c>
      <c r="MD18" s="9" t="e">
        <f t="shared" ref="MD18:MD34" si="3">AVERAGE(MG18:MU18)</f>
        <v>#DIV/0!</v>
      </c>
      <c r="ME18" s="10" t="e">
        <f>RANK(MD18,$MD$18:$MD$22)</f>
        <v>#DIV/0!</v>
      </c>
      <c r="MF18" s="10" t="e">
        <f>RANK(MD18,$MD$12:$MD$34)</f>
        <v>#DIV/0!</v>
      </c>
      <c r="MG18" s="40"/>
      <c r="MH18" s="40"/>
      <c r="MI18" s="40"/>
      <c r="MJ18" s="40"/>
      <c r="MK18" s="40"/>
      <c r="ML18" s="40"/>
      <c r="MM18" s="40"/>
      <c r="MN18" s="40"/>
      <c r="MO18" s="40"/>
      <c r="MP18" s="40"/>
      <c r="MQ18" s="40"/>
      <c r="MR18" s="40"/>
      <c r="MS18" s="40"/>
      <c r="MT18" s="40"/>
      <c r="MU18" s="40"/>
    </row>
    <row r="19" spans="2:359" x14ac:dyDescent="0.2">
      <c r="B19" s="8">
        <v>2</v>
      </c>
      <c r="C19" s="11" t="e">
        <f t="shared" ref="C19:C22" si="4">AVERAGE(F19:IM19)</f>
        <v>#DIV/0!</v>
      </c>
      <c r="D19" s="10" t="e">
        <f t="shared" ref="D19:D22" si="5">RANK(C19,$C$18:$C$22)</f>
        <v>#DIV/0!</v>
      </c>
      <c r="E19" s="10" t="e">
        <f>RANK(C19,$C$12:$C$34)</f>
        <v>#DIV/0!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40"/>
      <c r="DU19" s="1"/>
      <c r="DV19" s="1"/>
      <c r="DW19" s="1"/>
      <c r="DX19" s="1"/>
      <c r="DY19" s="1"/>
      <c r="DZ19" s="40"/>
      <c r="EA19" s="40"/>
      <c r="EB19" s="40"/>
      <c r="EC19" s="40"/>
      <c r="ED19" s="1"/>
      <c r="EE19" s="1"/>
      <c r="EF19" s="1"/>
      <c r="EG19" s="1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  <c r="IV19" s="40"/>
      <c r="IW19" s="40"/>
      <c r="IX19" s="40"/>
      <c r="IY19" s="40"/>
      <c r="IZ19" s="40"/>
      <c r="JA19" s="40"/>
      <c r="JB19" s="40"/>
      <c r="JC19" s="40"/>
      <c r="JD19" s="40"/>
      <c r="JE19" s="40"/>
      <c r="JF19" s="40"/>
      <c r="JG19" s="40"/>
      <c r="JH19" s="40"/>
      <c r="JI19" s="40"/>
      <c r="JJ19" s="40"/>
      <c r="JK19" s="40"/>
      <c r="JL19" s="40"/>
      <c r="JM19" s="40"/>
      <c r="JN19" s="40"/>
      <c r="JO19" s="40"/>
      <c r="JP19" s="40"/>
      <c r="JQ19" s="40"/>
      <c r="JR19" s="40"/>
      <c r="JS19" s="40"/>
      <c r="JT19" s="40"/>
      <c r="JU19" s="40"/>
      <c r="JV19" s="40"/>
      <c r="JW19" s="40"/>
      <c r="JX19" s="40"/>
      <c r="JY19" s="40"/>
      <c r="JZ19" s="40"/>
      <c r="KA19" s="40"/>
      <c r="KB19" s="40"/>
      <c r="KC19" s="40"/>
      <c r="KD19" s="40"/>
      <c r="KE19" s="40"/>
      <c r="KF19" s="40"/>
      <c r="KG19" s="40"/>
      <c r="KH19" s="40"/>
      <c r="KI19" s="40"/>
      <c r="KJ19" s="40"/>
      <c r="KK19" s="40"/>
      <c r="KL19" s="40"/>
      <c r="KM19" s="40"/>
      <c r="KN19" s="40"/>
      <c r="KO19" s="40"/>
      <c r="KP19" s="40"/>
      <c r="KQ19" s="40"/>
      <c r="KR19" s="40"/>
      <c r="KS19" s="40"/>
      <c r="KT19" s="40"/>
      <c r="KU19" s="40"/>
      <c r="KV19" s="40"/>
      <c r="KW19" s="40"/>
      <c r="KX19" s="40"/>
      <c r="KY19" s="40"/>
      <c r="KZ19" s="40"/>
      <c r="LA19" s="40"/>
      <c r="LB19" s="40"/>
      <c r="LC19" s="40"/>
      <c r="LD19" s="40"/>
      <c r="LE19" s="40"/>
      <c r="LF19" s="40"/>
      <c r="LG19" s="40"/>
      <c r="LH19" s="40"/>
      <c r="LI19" s="40"/>
      <c r="LJ19" s="40"/>
      <c r="LK19" s="40"/>
      <c r="LL19" s="40"/>
      <c r="LM19" s="40"/>
      <c r="LN19" s="40"/>
      <c r="LO19" s="40"/>
      <c r="LP19" s="40"/>
      <c r="LQ19" s="40"/>
      <c r="LR19" s="40"/>
      <c r="LS19" s="40"/>
      <c r="LT19" s="40"/>
      <c r="LU19" s="40"/>
      <c r="LV19" s="40"/>
      <c r="LW19" s="40"/>
      <c r="LX19" s="40"/>
      <c r="LY19" s="40"/>
      <c r="LZ19" s="40"/>
      <c r="MC19" s="8">
        <v>2</v>
      </c>
      <c r="MD19" s="9" t="e">
        <f t="shared" si="3"/>
        <v>#DIV/0!</v>
      </c>
      <c r="ME19" s="10" t="e">
        <f>RANK(MD19,$MD$18:$MD$22)</f>
        <v>#DIV/0!</v>
      </c>
      <c r="MF19" s="10" t="e">
        <f>RANK(MD19,$MD$12:$MD$34)</f>
        <v>#DIV/0!</v>
      </c>
      <c r="MG19" s="40"/>
      <c r="MH19" s="40"/>
      <c r="MI19" s="40"/>
      <c r="MJ19" s="40"/>
      <c r="MK19" s="40"/>
      <c r="ML19" s="40"/>
      <c r="MM19" s="40"/>
      <c r="MN19" s="40"/>
      <c r="MO19" s="40"/>
      <c r="MP19" s="40"/>
      <c r="MQ19" s="40"/>
      <c r="MR19" s="40"/>
      <c r="MS19" s="40"/>
      <c r="MT19" s="40"/>
      <c r="MU19" s="40"/>
    </row>
    <row r="20" spans="2:359" x14ac:dyDescent="0.2">
      <c r="B20" s="8">
        <v>3</v>
      </c>
      <c r="C20" s="11" t="e">
        <f t="shared" si="4"/>
        <v>#DIV/0!</v>
      </c>
      <c r="D20" s="10" t="e">
        <f t="shared" si="5"/>
        <v>#DIV/0!</v>
      </c>
      <c r="E20" s="10" t="e">
        <f>RANK(C20,$C$12:$C$34)</f>
        <v>#DIV/0!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40"/>
      <c r="DU20" s="1"/>
      <c r="DV20" s="1"/>
      <c r="DW20" s="1"/>
      <c r="DX20" s="1"/>
      <c r="DY20" s="1"/>
      <c r="DZ20" s="40"/>
      <c r="EA20" s="40"/>
      <c r="EB20" s="40"/>
      <c r="EC20" s="40"/>
      <c r="ED20" s="1"/>
      <c r="EE20" s="1"/>
      <c r="EF20" s="1"/>
      <c r="EG20" s="1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  <c r="IU20" s="40"/>
      <c r="IV20" s="40"/>
      <c r="IW20" s="40"/>
      <c r="IX20" s="40"/>
      <c r="IY20" s="40"/>
      <c r="IZ20" s="40"/>
      <c r="JA20" s="40"/>
      <c r="JB20" s="40"/>
      <c r="JC20" s="40"/>
      <c r="JD20" s="40"/>
      <c r="JE20" s="40"/>
      <c r="JF20" s="40"/>
      <c r="JG20" s="40"/>
      <c r="JH20" s="40"/>
      <c r="JI20" s="40"/>
      <c r="JJ20" s="40"/>
      <c r="JK20" s="40"/>
      <c r="JL20" s="40"/>
      <c r="JM20" s="40"/>
      <c r="JN20" s="40"/>
      <c r="JO20" s="40"/>
      <c r="JP20" s="40"/>
      <c r="JQ20" s="40"/>
      <c r="JR20" s="40"/>
      <c r="JS20" s="40"/>
      <c r="JT20" s="40"/>
      <c r="JU20" s="40"/>
      <c r="JV20" s="40"/>
      <c r="JW20" s="40"/>
      <c r="JX20" s="40"/>
      <c r="JY20" s="40"/>
      <c r="JZ20" s="40"/>
      <c r="KA20" s="40"/>
      <c r="KB20" s="40"/>
      <c r="KC20" s="40"/>
      <c r="KD20" s="40"/>
      <c r="KE20" s="40"/>
      <c r="KF20" s="40"/>
      <c r="KG20" s="40"/>
      <c r="KH20" s="40"/>
      <c r="KI20" s="40"/>
      <c r="KJ20" s="40"/>
      <c r="KK20" s="40"/>
      <c r="KL20" s="40"/>
      <c r="KM20" s="40"/>
      <c r="KN20" s="40"/>
      <c r="KO20" s="40"/>
      <c r="KP20" s="40"/>
      <c r="KQ20" s="40"/>
      <c r="KR20" s="40"/>
      <c r="KS20" s="40"/>
      <c r="KT20" s="40"/>
      <c r="KU20" s="40"/>
      <c r="KV20" s="40"/>
      <c r="KW20" s="40"/>
      <c r="KX20" s="40"/>
      <c r="KY20" s="40"/>
      <c r="KZ20" s="40"/>
      <c r="LA20" s="40"/>
      <c r="LB20" s="40"/>
      <c r="LC20" s="40"/>
      <c r="LD20" s="40"/>
      <c r="LE20" s="40"/>
      <c r="LF20" s="40"/>
      <c r="LG20" s="40"/>
      <c r="LH20" s="40"/>
      <c r="LI20" s="40"/>
      <c r="LJ20" s="40"/>
      <c r="LK20" s="40"/>
      <c r="LL20" s="40"/>
      <c r="LM20" s="40"/>
      <c r="LN20" s="40"/>
      <c r="LO20" s="40"/>
      <c r="LP20" s="40"/>
      <c r="LQ20" s="40"/>
      <c r="LR20" s="40"/>
      <c r="LS20" s="40"/>
      <c r="LT20" s="40"/>
      <c r="LU20" s="40"/>
      <c r="LV20" s="40"/>
      <c r="LW20" s="40"/>
      <c r="LX20" s="40"/>
      <c r="LY20" s="40"/>
      <c r="LZ20" s="40"/>
      <c r="MC20" s="8">
        <v>3</v>
      </c>
      <c r="MD20" s="9" t="e">
        <f t="shared" si="3"/>
        <v>#DIV/0!</v>
      </c>
      <c r="ME20" s="10" t="e">
        <f>RANK(MD20,$MD$18:$MD$22)</f>
        <v>#DIV/0!</v>
      </c>
      <c r="MF20" s="10" t="e">
        <f>RANK(MD20,$MD$12:$MD$34)</f>
        <v>#DIV/0!</v>
      </c>
      <c r="MG20" s="40"/>
      <c r="MH20" s="40"/>
      <c r="MI20" s="40"/>
      <c r="MJ20" s="40"/>
      <c r="MK20" s="40"/>
      <c r="ML20" s="40"/>
      <c r="MM20" s="40"/>
      <c r="MN20" s="40"/>
      <c r="MO20" s="40"/>
      <c r="MP20" s="40"/>
      <c r="MQ20" s="40"/>
      <c r="MR20" s="40"/>
      <c r="MS20" s="40"/>
      <c r="MT20" s="40"/>
      <c r="MU20" s="40"/>
    </row>
    <row r="21" spans="2:359" x14ac:dyDescent="0.2">
      <c r="B21" s="8">
        <v>4</v>
      </c>
      <c r="C21" s="11" t="e">
        <f t="shared" si="4"/>
        <v>#DIV/0!</v>
      </c>
      <c r="D21" s="10" t="e">
        <f t="shared" si="5"/>
        <v>#DIV/0!</v>
      </c>
      <c r="E21" s="10" t="e">
        <f>RANK(C21,$C$12:$C$34)</f>
        <v>#DIV/0!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40"/>
      <c r="DU21" s="1"/>
      <c r="DV21" s="1"/>
      <c r="DW21" s="1"/>
      <c r="DX21" s="1"/>
      <c r="DY21" s="1"/>
      <c r="DZ21" s="40"/>
      <c r="EA21" s="40"/>
      <c r="EB21" s="40"/>
      <c r="EC21" s="40"/>
      <c r="ED21" s="1"/>
      <c r="EE21" s="1"/>
      <c r="EF21" s="1"/>
      <c r="EG21" s="1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40"/>
      <c r="HC21" s="40"/>
      <c r="HD21" s="40"/>
      <c r="HE21" s="40"/>
      <c r="HF21" s="40"/>
      <c r="HG21" s="40"/>
      <c r="HH21" s="40"/>
      <c r="HI21" s="40"/>
      <c r="HJ21" s="40"/>
      <c r="HK21" s="40"/>
      <c r="HL21" s="40"/>
      <c r="HM21" s="40"/>
      <c r="HN21" s="40"/>
      <c r="HO21" s="40"/>
      <c r="HP21" s="40"/>
      <c r="HQ21" s="40"/>
      <c r="HR21" s="40"/>
      <c r="HS21" s="40"/>
      <c r="HT21" s="40"/>
      <c r="HU21" s="40"/>
      <c r="HV21" s="40"/>
      <c r="HW21" s="40"/>
      <c r="HX21" s="40"/>
      <c r="HY21" s="40"/>
      <c r="HZ21" s="40"/>
      <c r="IA21" s="40"/>
      <c r="IB21" s="40"/>
      <c r="IC21" s="40"/>
      <c r="ID21" s="40"/>
      <c r="IE21" s="40"/>
      <c r="IF21" s="40"/>
      <c r="IG21" s="40"/>
      <c r="IH21" s="40"/>
      <c r="II21" s="40"/>
      <c r="IJ21" s="40"/>
      <c r="IK21" s="40"/>
      <c r="IL21" s="40"/>
      <c r="IM21" s="40"/>
      <c r="IN21" s="40"/>
      <c r="IO21" s="40"/>
      <c r="IP21" s="40"/>
      <c r="IQ21" s="40"/>
      <c r="IR21" s="40"/>
      <c r="IS21" s="40"/>
      <c r="IT21" s="40"/>
      <c r="IU21" s="40"/>
      <c r="IV21" s="40"/>
      <c r="IW21" s="40"/>
      <c r="IX21" s="40"/>
      <c r="IY21" s="40"/>
      <c r="IZ21" s="40"/>
      <c r="JA21" s="40"/>
      <c r="JB21" s="40"/>
      <c r="JC21" s="40"/>
      <c r="JD21" s="40"/>
      <c r="JE21" s="40"/>
      <c r="JF21" s="40"/>
      <c r="JG21" s="40"/>
      <c r="JH21" s="40"/>
      <c r="JI21" s="40"/>
      <c r="JJ21" s="40"/>
      <c r="JK21" s="40"/>
      <c r="JL21" s="40"/>
      <c r="JM21" s="40"/>
      <c r="JN21" s="40"/>
      <c r="JO21" s="40"/>
      <c r="JP21" s="40"/>
      <c r="JQ21" s="40"/>
      <c r="JR21" s="40"/>
      <c r="JS21" s="40"/>
      <c r="JT21" s="40"/>
      <c r="JU21" s="40"/>
      <c r="JV21" s="40"/>
      <c r="JW21" s="40"/>
      <c r="JX21" s="40"/>
      <c r="JY21" s="40"/>
      <c r="JZ21" s="40"/>
      <c r="KA21" s="40"/>
      <c r="KB21" s="40"/>
      <c r="KC21" s="40"/>
      <c r="KD21" s="40"/>
      <c r="KE21" s="40"/>
      <c r="KF21" s="40"/>
      <c r="KG21" s="40"/>
      <c r="KH21" s="40"/>
      <c r="KI21" s="40"/>
      <c r="KJ21" s="40"/>
      <c r="KK21" s="40"/>
      <c r="KL21" s="40"/>
      <c r="KM21" s="40"/>
      <c r="KN21" s="40"/>
      <c r="KO21" s="40"/>
      <c r="KP21" s="40"/>
      <c r="KQ21" s="40"/>
      <c r="KR21" s="40"/>
      <c r="KS21" s="40"/>
      <c r="KT21" s="40"/>
      <c r="KU21" s="40"/>
      <c r="KV21" s="40"/>
      <c r="KW21" s="40"/>
      <c r="KX21" s="40"/>
      <c r="KY21" s="40"/>
      <c r="KZ21" s="40"/>
      <c r="LA21" s="40"/>
      <c r="LB21" s="40"/>
      <c r="LC21" s="40"/>
      <c r="LD21" s="40"/>
      <c r="LE21" s="40"/>
      <c r="LF21" s="40"/>
      <c r="LG21" s="40"/>
      <c r="LH21" s="40"/>
      <c r="LI21" s="40"/>
      <c r="LJ21" s="40"/>
      <c r="LK21" s="40"/>
      <c r="LL21" s="40"/>
      <c r="LM21" s="40"/>
      <c r="LN21" s="40"/>
      <c r="LO21" s="40"/>
      <c r="LP21" s="40"/>
      <c r="LQ21" s="40"/>
      <c r="LR21" s="40"/>
      <c r="LS21" s="40"/>
      <c r="LT21" s="40"/>
      <c r="LU21" s="40"/>
      <c r="LV21" s="40"/>
      <c r="LW21" s="40"/>
      <c r="LX21" s="40"/>
      <c r="LY21" s="40"/>
      <c r="LZ21" s="40"/>
      <c r="MC21" s="8">
        <v>4</v>
      </c>
      <c r="MD21" s="9" t="e">
        <f t="shared" si="3"/>
        <v>#DIV/0!</v>
      </c>
      <c r="ME21" s="10" t="e">
        <f>RANK(MD21,$MD$18:$MD$22)</f>
        <v>#DIV/0!</v>
      </c>
      <c r="MF21" s="10" t="e">
        <f>RANK(MD21,$MD$12:$MD$34)</f>
        <v>#DIV/0!</v>
      </c>
      <c r="MG21" s="40"/>
      <c r="MH21" s="40"/>
      <c r="MI21" s="40"/>
      <c r="MJ21" s="40"/>
      <c r="MK21" s="40"/>
      <c r="ML21" s="40"/>
      <c r="MM21" s="40"/>
      <c r="MN21" s="40"/>
      <c r="MO21" s="40"/>
      <c r="MP21" s="40"/>
      <c r="MQ21" s="40"/>
      <c r="MR21" s="40"/>
      <c r="MS21" s="40"/>
      <c r="MT21" s="40"/>
      <c r="MU21" s="40"/>
    </row>
    <row r="22" spans="2:359" ht="13.5" thickBot="1" x14ac:dyDescent="0.25">
      <c r="B22" s="8">
        <v>5</v>
      </c>
      <c r="C22" s="11" t="e">
        <f t="shared" si="4"/>
        <v>#DIV/0!</v>
      </c>
      <c r="D22" s="10" t="e">
        <f t="shared" si="5"/>
        <v>#DIV/0!</v>
      </c>
      <c r="E22" s="10" t="e">
        <f>RANK(C22,$C$12:$C$34)</f>
        <v>#DIV/0!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40"/>
      <c r="DU22" s="1"/>
      <c r="DV22" s="1"/>
      <c r="DW22" s="1"/>
      <c r="DX22" s="1"/>
      <c r="DY22" s="1"/>
      <c r="DZ22" s="40"/>
      <c r="EA22" s="40"/>
      <c r="EB22" s="40"/>
      <c r="EC22" s="40"/>
      <c r="ED22" s="1"/>
      <c r="EE22" s="1"/>
      <c r="EF22" s="1"/>
      <c r="EG22" s="1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40"/>
      <c r="GV22" s="40"/>
      <c r="GW22" s="40"/>
      <c r="GX22" s="40"/>
      <c r="GY22" s="40"/>
      <c r="GZ22" s="40"/>
      <c r="HA22" s="40"/>
      <c r="HB22" s="40"/>
      <c r="HC22" s="40"/>
      <c r="HD22" s="40"/>
      <c r="HE22" s="40"/>
      <c r="HF22" s="40"/>
      <c r="HG22" s="40"/>
      <c r="HH22" s="40"/>
      <c r="HI22" s="40"/>
      <c r="HJ22" s="40"/>
      <c r="HK22" s="40"/>
      <c r="HL22" s="40"/>
      <c r="HM22" s="40"/>
      <c r="HN22" s="40"/>
      <c r="HO22" s="40"/>
      <c r="HP22" s="40"/>
      <c r="HQ22" s="40"/>
      <c r="HR22" s="40"/>
      <c r="HS22" s="40"/>
      <c r="HT22" s="40"/>
      <c r="HU22" s="40"/>
      <c r="HV22" s="40"/>
      <c r="HW22" s="40"/>
      <c r="HX22" s="40"/>
      <c r="HY22" s="40"/>
      <c r="HZ22" s="40"/>
      <c r="IA22" s="40"/>
      <c r="IB22" s="40"/>
      <c r="IC22" s="40"/>
      <c r="ID22" s="40"/>
      <c r="IE22" s="40"/>
      <c r="IF22" s="40"/>
      <c r="IG22" s="40"/>
      <c r="IH22" s="40"/>
      <c r="II22" s="40"/>
      <c r="IJ22" s="40"/>
      <c r="IK22" s="40"/>
      <c r="IL22" s="40"/>
      <c r="IM22" s="40"/>
      <c r="IN22" s="40"/>
      <c r="IO22" s="40"/>
      <c r="IP22" s="40"/>
      <c r="IQ22" s="40"/>
      <c r="IR22" s="40"/>
      <c r="IS22" s="40"/>
      <c r="IT22" s="40"/>
      <c r="IU22" s="40"/>
      <c r="IV22" s="40"/>
      <c r="IW22" s="40"/>
      <c r="IX22" s="40"/>
      <c r="IY22" s="40"/>
      <c r="IZ22" s="40"/>
      <c r="JA22" s="40"/>
      <c r="JB22" s="40"/>
      <c r="JC22" s="40"/>
      <c r="JD22" s="40"/>
      <c r="JE22" s="40"/>
      <c r="JF22" s="40"/>
      <c r="JG22" s="40"/>
      <c r="JH22" s="40"/>
      <c r="JI22" s="40"/>
      <c r="JJ22" s="40"/>
      <c r="JK22" s="40"/>
      <c r="JL22" s="40"/>
      <c r="JM22" s="40"/>
      <c r="JN22" s="40"/>
      <c r="JO22" s="40"/>
      <c r="JP22" s="40"/>
      <c r="JQ22" s="40"/>
      <c r="JR22" s="40"/>
      <c r="JS22" s="40"/>
      <c r="JT22" s="40"/>
      <c r="JU22" s="40"/>
      <c r="JV22" s="40"/>
      <c r="JW22" s="40"/>
      <c r="JX22" s="40"/>
      <c r="JY22" s="40"/>
      <c r="JZ22" s="40"/>
      <c r="KA22" s="40"/>
      <c r="KB22" s="40"/>
      <c r="KC22" s="40"/>
      <c r="KD22" s="40"/>
      <c r="KE22" s="40"/>
      <c r="KF22" s="40"/>
      <c r="KG22" s="40"/>
      <c r="KH22" s="40"/>
      <c r="KI22" s="40"/>
      <c r="KJ22" s="40"/>
      <c r="KK22" s="40"/>
      <c r="KL22" s="40"/>
      <c r="KM22" s="40"/>
      <c r="KN22" s="40"/>
      <c r="KO22" s="40"/>
      <c r="KP22" s="40"/>
      <c r="KQ22" s="40"/>
      <c r="KR22" s="40"/>
      <c r="KS22" s="40"/>
      <c r="KT22" s="40"/>
      <c r="KU22" s="40"/>
      <c r="KV22" s="40"/>
      <c r="KW22" s="40"/>
      <c r="KX22" s="40"/>
      <c r="KY22" s="40"/>
      <c r="KZ22" s="40"/>
      <c r="LA22" s="40"/>
      <c r="LB22" s="40"/>
      <c r="LC22" s="40"/>
      <c r="LD22" s="40"/>
      <c r="LE22" s="40"/>
      <c r="LF22" s="40"/>
      <c r="LG22" s="40"/>
      <c r="LH22" s="40"/>
      <c r="LI22" s="40"/>
      <c r="LJ22" s="40"/>
      <c r="LK22" s="40"/>
      <c r="LL22" s="40"/>
      <c r="LM22" s="40"/>
      <c r="LN22" s="40"/>
      <c r="LO22" s="40"/>
      <c r="LP22" s="40"/>
      <c r="LQ22" s="40"/>
      <c r="LR22" s="40"/>
      <c r="LS22" s="40"/>
      <c r="LT22" s="40"/>
      <c r="LU22" s="40"/>
      <c r="LV22" s="40"/>
      <c r="LW22" s="40"/>
      <c r="LX22" s="40"/>
      <c r="LY22" s="40"/>
      <c r="LZ22" s="40"/>
      <c r="MC22" s="8">
        <v>5</v>
      </c>
      <c r="MD22" s="9" t="e">
        <f t="shared" si="3"/>
        <v>#DIV/0!</v>
      </c>
      <c r="ME22" s="10" t="e">
        <f>RANK(MD22,$MD$18:$MD$22)</f>
        <v>#DIV/0!</v>
      </c>
      <c r="MF22" s="10" t="e">
        <f>RANK(MD22,$MD$12:$MD$34)</f>
        <v>#DIV/0!</v>
      </c>
      <c r="MG22" s="40"/>
      <c r="MH22" s="40"/>
      <c r="MI22" s="40"/>
      <c r="MJ22" s="40"/>
      <c r="MK22" s="40"/>
      <c r="ML22" s="40"/>
      <c r="MM22" s="40"/>
      <c r="MN22" s="40"/>
      <c r="MO22" s="40"/>
      <c r="MP22" s="40"/>
      <c r="MQ22" s="40"/>
      <c r="MR22" s="40"/>
      <c r="MS22" s="40"/>
      <c r="MT22" s="40"/>
      <c r="MU22" s="40"/>
    </row>
    <row r="23" spans="2:359" ht="13.5" thickBot="1" x14ac:dyDescent="0.25">
      <c r="B23" s="405" t="s">
        <v>250</v>
      </c>
      <c r="C23" s="406"/>
      <c r="D23" s="406"/>
      <c r="E23" s="406"/>
      <c r="F23" s="406"/>
      <c r="G23" s="406"/>
      <c r="H23" s="406"/>
      <c r="I23" s="406"/>
      <c r="J23" s="406"/>
      <c r="K23" s="406"/>
      <c r="L23" s="406"/>
      <c r="M23" s="406"/>
      <c r="N23" s="406"/>
      <c r="O23" s="406"/>
      <c r="P23" s="406"/>
      <c r="Q23" s="406"/>
      <c r="R23" s="406"/>
      <c r="S23" s="406"/>
      <c r="T23" s="406"/>
      <c r="U23" s="406"/>
      <c r="V23" s="406"/>
      <c r="W23" s="406"/>
      <c r="X23" s="406"/>
      <c r="Y23" s="406"/>
      <c r="Z23" s="406"/>
      <c r="AA23" s="406"/>
      <c r="AB23" s="406"/>
      <c r="AC23" s="406"/>
      <c r="AD23" s="406"/>
      <c r="AE23" s="406"/>
      <c r="AF23" s="406"/>
      <c r="AG23" s="406"/>
      <c r="AH23" s="406"/>
      <c r="AI23" s="406"/>
      <c r="AJ23" s="406"/>
      <c r="AK23" s="406"/>
      <c r="AL23" s="406"/>
      <c r="AM23" s="406"/>
      <c r="AN23" s="406"/>
      <c r="AO23" s="406"/>
      <c r="AP23" s="406"/>
      <c r="AQ23" s="406"/>
      <c r="AR23" s="406"/>
      <c r="AS23" s="406"/>
      <c r="AT23" s="406"/>
      <c r="AU23" s="406"/>
      <c r="AV23" s="406"/>
      <c r="AW23" s="406"/>
      <c r="AX23" s="406"/>
      <c r="AY23" s="406"/>
      <c r="AZ23" s="406"/>
      <c r="BA23" s="406"/>
      <c r="BB23" s="406"/>
      <c r="BC23" s="406"/>
      <c r="BD23" s="406"/>
      <c r="BE23" s="406"/>
      <c r="BF23" s="406"/>
      <c r="BG23" s="406"/>
      <c r="BH23" s="406"/>
      <c r="BI23" s="406"/>
      <c r="BJ23" s="406"/>
      <c r="BK23" s="406"/>
      <c r="BL23" s="406"/>
      <c r="BM23" s="406"/>
      <c r="BN23" s="406"/>
      <c r="BO23" s="406"/>
      <c r="BP23" s="406"/>
      <c r="BQ23" s="406"/>
      <c r="BR23" s="406"/>
      <c r="BS23" s="406"/>
      <c r="BT23" s="406"/>
      <c r="BU23" s="406"/>
      <c r="BV23" s="406"/>
      <c r="BW23" s="406"/>
      <c r="BX23" s="406"/>
      <c r="BY23" s="406"/>
      <c r="BZ23" s="406"/>
      <c r="CA23" s="406"/>
      <c r="CB23" s="406"/>
      <c r="CC23" s="406"/>
      <c r="CD23" s="406"/>
      <c r="CE23" s="406"/>
      <c r="CF23" s="406"/>
      <c r="CG23" s="406"/>
      <c r="CH23" s="406"/>
      <c r="CI23" s="406"/>
      <c r="CJ23" s="406"/>
      <c r="CK23" s="406"/>
      <c r="CL23" s="406"/>
      <c r="CM23" s="406"/>
      <c r="CN23" s="406"/>
      <c r="CO23" s="406"/>
      <c r="CP23" s="406"/>
      <c r="CQ23" s="406"/>
      <c r="CR23" s="406"/>
      <c r="CS23" s="406"/>
      <c r="CT23" s="406"/>
      <c r="CU23" s="406"/>
      <c r="CV23" s="406"/>
      <c r="CW23" s="406"/>
      <c r="CX23" s="406"/>
      <c r="CY23" s="406"/>
      <c r="CZ23" s="406"/>
      <c r="DA23" s="406"/>
      <c r="DB23" s="406"/>
      <c r="DC23" s="406"/>
      <c r="DD23" s="406"/>
      <c r="DE23" s="406"/>
      <c r="DF23" s="406"/>
      <c r="DG23" s="406"/>
      <c r="DH23" s="357">
        <f>AI56</f>
        <v>0.25</v>
      </c>
      <c r="DI23" s="358"/>
      <c r="DJ23" s="364" t="e">
        <f>SUM(C24:C28)</f>
        <v>#DIV/0!</v>
      </c>
      <c r="DK23" s="410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43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C23" s="442" t="s">
        <v>14</v>
      </c>
      <c r="MD23" s="443"/>
      <c r="ME23" s="443"/>
      <c r="MF23" s="443"/>
      <c r="MG23" s="443"/>
      <c r="MH23" s="443"/>
      <c r="MI23" s="443"/>
      <c r="MJ23" s="443"/>
      <c r="MK23" s="443"/>
      <c r="ML23" s="125"/>
      <c r="MM23" s="357">
        <f>AI56</f>
        <v>0.25</v>
      </c>
      <c r="MN23" s="358" t="e">
        <f>AVERAGE(MD24:MD28)</f>
        <v>#DIV/0!</v>
      </c>
      <c r="MO23" s="364" t="e">
        <f>SUM(MD24:MD28)</f>
        <v>#DIV/0!</v>
      </c>
      <c r="MP23" s="365" t="e">
        <f>AVERAGE(MF24:MF28)</f>
        <v>#DIV/0!</v>
      </c>
    </row>
    <row r="24" spans="2:359" x14ac:dyDescent="0.2">
      <c r="B24" s="8">
        <v>1</v>
      </c>
      <c r="C24" s="11" t="e">
        <f>AVERAGE(F24:IM24)</f>
        <v>#DIV/0!</v>
      </c>
      <c r="D24" s="10" t="e">
        <f>RANK(C24,$C$24:$C$28)</f>
        <v>#DIV/0!</v>
      </c>
      <c r="E24" s="10" t="e">
        <f>RANK(C24,$C$12:$C$34)</f>
        <v>#DIV/0!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40"/>
      <c r="DU24" s="1"/>
      <c r="DV24" s="1"/>
      <c r="DW24" s="1"/>
      <c r="DX24" s="1"/>
      <c r="DY24" s="1"/>
      <c r="DZ24" s="40"/>
      <c r="EA24" s="40"/>
      <c r="EB24" s="40"/>
      <c r="EC24" s="40"/>
      <c r="ED24" s="1"/>
      <c r="EE24" s="1"/>
      <c r="EF24" s="1"/>
      <c r="EG24" s="1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  <c r="KJ24" s="40"/>
      <c r="KK24" s="40"/>
      <c r="KL24" s="40"/>
      <c r="KM24" s="40"/>
      <c r="KN24" s="40"/>
      <c r="KO24" s="40"/>
      <c r="KP24" s="40"/>
      <c r="KQ24" s="40"/>
      <c r="KR24" s="40"/>
      <c r="KS24" s="40"/>
      <c r="KT24" s="40"/>
      <c r="KU24" s="40"/>
      <c r="KV24" s="40"/>
      <c r="KW24" s="40"/>
      <c r="KX24" s="40"/>
      <c r="KY24" s="40"/>
      <c r="KZ24" s="40"/>
      <c r="LA24" s="40"/>
      <c r="LB24" s="40"/>
      <c r="LC24" s="40"/>
      <c r="LD24" s="40"/>
      <c r="LE24" s="40"/>
      <c r="LF24" s="40"/>
      <c r="LG24" s="40"/>
      <c r="LH24" s="40"/>
      <c r="LI24" s="40"/>
      <c r="LJ24" s="40"/>
      <c r="LK24" s="40"/>
      <c r="LL24" s="40"/>
      <c r="LM24" s="40"/>
      <c r="LN24" s="40"/>
      <c r="LO24" s="40"/>
      <c r="LP24" s="40"/>
      <c r="LQ24" s="40"/>
      <c r="LR24" s="40"/>
      <c r="LS24" s="40"/>
      <c r="LT24" s="40"/>
      <c r="LU24" s="40"/>
      <c r="LV24" s="40"/>
      <c r="LW24" s="40"/>
      <c r="LX24" s="40"/>
      <c r="LY24" s="40"/>
      <c r="LZ24" s="40"/>
      <c r="MC24" s="8">
        <v>1</v>
      </c>
      <c r="MD24" s="9" t="e">
        <f t="shared" si="3"/>
        <v>#DIV/0!</v>
      </c>
      <c r="ME24" s="10" t="e">
        <f>RANK(MD24,$MD$24:$MD$28)</f>
        <v>#DIV/0!</v>
      </c>
      <c r="MF24" s="10" t="e">
        <f>RANK(MD24,$MD$12:$MD$34)</f>
        <v>#DIV/0!</v>
      </c>
      <c r="MG24" s="40"/>
      <c r="MH24" s="40"/>
      <c r="MI24" s="40"/>
      <c r="MJ24" s="40"/>
      <c r="MK24" s="40"/>
      <c r="ML24" s="40"/>
      <c r="MM24" s="40"/>
      <c r="MN24" s="40"/>
      <c r="MO24" s="40"/>
      <c r="MP24" s="40"/>
      <c r="MQ24" s="40"/>
      <c r="MR24" s="40"/>
      <c r="MS24" s="40"/>
      <c r="MT24" s="40"/>
      <c r="MU24" s="40"/>
    </row>
    <row r="25" spans="2:359" x14ac:dyDescent="0.2">
      <c r="B25" s="8">
        <v>2</v>
      </c>
      <c r="C25" s="11" t="e">
        <f t="shared" ref="C25:C28" si="6">AVERAGE(F25:IM25)</f>
        <v>#DIV/0!</v>
      </c>
      <c r="D25" s="10" t="e">
        <f>RANK(C25,$C$24:$C$28)</f>
        <v>#DIV/0!</v>
      </c>
      <c r="E25" s="10" t="e">
        <f>RANK(C25,$C$12:$C$34)</f>
        <v>#DIV/0!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40"/>
      <c r="DU25" s="1"/>
      <c r="DV25" s="1"/>
      <c r="DW25" s="1"/>
      <c r="DX25" s="1"/>
      <c r="DY25" s="1"/>
      <c r="DZ25" s="40"/>
      <c r="EA25" s="40"/>
      <c r="EB25" s="40"/>
      <c r="EC25" s="40"/>
      <c r="ED25" s="1"/>
      <c r="EE25" s="1"/>
      <c r="EF25" s="1"/>
      <c r="EG25" s="1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  <c r="KA25" s="40"/>
      <c r="KB25" s="40"/>
      <c r="KC25" s="40"/>
      <c r="KD25" s="40"/>
      <c r="KE25" s="40"/>
      <c r="KF25" s="40"/>
      <c r="KG25" s="40"/>
      <c r="KH25" s="40"/>
      <c r="KI25" s="40"/>
      <c r="KJ25" s="40"/>
      <c r="KK25" s="40"/>
      <c r="KL25" s="40"/>
      <c r="KM25" s="40"/>
      <c r="KN25" s="40"/>
      <c r="KO25" s="40"/>
      <c r="KP25" s="40"/>
      <c r="KQ25" s="40"/>
      <c r="KR25" s="40"/>
      <c r="KS25" s="40"/>
      <c r="KT25" s="40"/>
      <c r="KU25" s="40"/>
      <c r="KV25" s="40"/>
      <c r="KW25" s="40"/>
      <c r="KX25" s="40"/>
      <c r="KY25" s="40"/>
      <c r="KZ25" s="40"/>
      <c r="LA25" s="40"/>
      <c r="LB25" s="40"/>
      <c r="LC25" s="40"/>
      <c r="LD25" s="40"/>
      <c r="LE25" s="40"/>
      <c r="LF25" s="40"/>
      <c r="LG25" s="40"/>
      <c r="LH25" s="40"/>
      <c r="LI25" s="40"/>
      <c r="LJ25" s="40"/>
      <c r="LK25" s="40"/>
      <c r="LL25" s="40"/>
      <c r="LM25" s="40"/>
      <c r="LN25" s="40"/>
      <c r="LO25" s="40"/>
      <c r="LP25" s="40"/>
      <c r="LQ25" s="40"/>
      <c r="LR25" s="40"/>
      <c r="LS25" s="40"/>
      <c r="LT25" s="40"/>
      <c r="LU25" s="40"/>
      <c r="LV25" s="40"/>
      <c r="LW25" s="40"/>
      <c r="LX25" s="40"/>
      <c r="LY25" s="40"/>
      <c r="LZ25" s="40"/>
      <c r="MC25" s="8">
        <v>2</v>
      </c>
      <c r="MD25" s="9" t="e">
        <f t="shared" si="3"/>
        <v>#DIV/0!</v>
      </c>
      <c r="ME25" s="10" t="e">
        <f>RANK(MD25,$MD$24:$MD$28)</f>
        <v>#DIV/0!</v>
      </c>
      <c r="MF25" s="10" t="e">
        <f>RANK(MD25,$MD$12:$MD$34)</f>
        <v>#DIV/0!</v>
      </c>
      <c r="MG25" s="40"/>
      <c r="MH25" s="40"/>
      <c r="MI25" s="40"/>
      <c r="MJ25" s="40"/>
      <c r="MK25" s="40"/>
      <c r="ML25" s="40"/>
      <c r="MM25" s="40"/>
      <c r="MN25" s="40"/>
      <c r="MO25" s="40"/>
      <c r="MP25" s="40"/>
      <c r="MQ25" s="40"/>
      <c r="MR25" s="40"/>
      <c r="MS25" s="40"/>
      <c r="MT25" s="40"/>
      <c r="MU25" s="40"/>
    </row>
    <row r="26" spans="2:359" x14ac:dyDescent="0.2">
      <c r="B26" s="8">
        <v>3</v>
      </c>
      <c r="C26" s="11" t="e">
        <f t="shared" si="6"/>
        <v>#DIV/0!</v>
      </c>
      <c r="D26" s="10" t="e">
        <f>RANK(C26,$C$24:$C$28)</f>
        <v>#DIV/0!</v>
      </c>
      <c r="E26" s="10" t="e">
        <f>RANK(C26,$C$12:$C$34)</f>
        <v>#DIV/0!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40"/>
      <c r="DU26" s="1"/>
      <c r="DV26" s="1"/>
      <c r="DW26" s="1"/>
      <c r="DX26" s="1"/>
      <c r="DY26" s="1"/>
      <c r="DZ26" s="40"/>
      <c r="EA26" s="40"/>
      <c r="EB26" s="40"/>
      <c r="EC26" s="40"/>
      <c r="ED26" s="1"/>
      <c r="EE26" s="1"/>
      <c r="EF26" s="1"/>
      <c r="EG26" s="1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  <c r="IU26" s="40"/>
      <c r="IV26" s="40"/>
      <c r="IW26" s="40"/>
      <c r="IX26" s="40"/>
      <c r="IY26" s="40"/>
      <c r="IZ26" s="40"/>
      <c r="JA26" s="40"/>
      <c r="JB26" s="40"/>
      <c r="JC26" s="40"/>
      <c r="JD26" s="40"/>
      <c r="JE26" s="40"/>
      <c r="JF26" s="40"/>
      <c r="JG26" s="40"/>
      <c r="JH26" s="40"/>
      <c r="JI26" s="40"/>
      <c r="JJ26" s="40"/>
      <c r="JK26" s="40"/>
      <c r="JL26" s="40"/>
      <c r="JM26" s="40"/>
      <c r="JN26" s="40"/>
      <c r="JO26" s="40"/>
      <c r="JP26" s="40"/>
      <c r="JQ26" s="40"/>
      <c r="JR26" s="40"/>
      <c r="JS26" s="40"/>
      <c r="JT26" s="40"/>
      <c r="JU26" s="40"/>
      <c r="JV26" s="40"/>
      <c r="JW26" s="40"/>
      <c r="JX26" s="40"/>
      <c r="JY26" s="40"/>
      <c r="JZ26" s="40"/>
      <c r="KA26" s="40"/>
      <c r="KB26" s="40"/>
      <c r="KC26" s="40"/>
      <c r="KD26" s="40"/>
      <c r="KE26" s="40"/>
      <c r="KF26" s="40"/>
      <c r="KG26" s="40"/>
      <c r="KH26" s="40"/>
      <c r="KI26" s="40"/>
      <c r="KJ26" s="40"/>
      <c r="KK26" s="40"/>
      <c r="KL26" s="40"/>
      <c r="KM26" s="40"/>
      <c r="KN26" s="40"/>
      <c r="KO26" s="40"/>
      <c r="KP26" s="40"/>
      <c r="KQ26" s="40"/>
      <c r="KR26" s="40"/>
      <c r="KS26" s="40"/>
      <c r="KT26" s="40"/>
      <c r="KU26" s="40"/>
      <c r="KV26" s="40"/>
      <c r="KW26" s="40"/>
      <c r="KX26" s="40"/>
      <c r="KY26" s="40"/>
      <c r="KZ26" s="40"/>
      <c r="LA26" s="40"/>
      <c r="LB26" s="40"/>
      <c r="LC26" s="40"/>
      <c r="LD26" s="40"/>
      <c r="LE26" s="40"/>
      <c r="LF26" s="40"/>
      <c r="LG26" s="40"/>
      <c r="LH26" s="40"/>
      <c r="LI26" s="40"/>
      <c r="LJ26" s="40"/>
      <c r="LK26" s="40"/>
      <c r="LL26" s="40"/>
      <c r="LM26" s="40"/>
      <c r="LN26" s="40"/>
      <c r="LO26" s="40"/>
      <c r="LP26" s="40"/>
      <c r="LQ26" s="40"/>
      <c r="LR26" s="40"/>
      <c r="LS26" s="40"/>
      <c r="LT26" s="40"/>
      <c r="LU26" s="40"/>
      <c r="LV26" s="40"/>
      <c r="LW26" s="40"/>
      <c r="LX26" s="40"/>
      <c r="LY26" s="40"/>
      <c r="LZ26" s="40"/>
      <c r="MC26" s="8">
        <v>3</v>
      </c>
      <c r="MD26" s="9" t="e">
        <f t="shared" si="3"/>
        <v>#DIV/0!</v>
      </c>
      <c r="ME26" s="10" t="e">
        <f>RANK(MD26,$MD$24:$MD$28)</f>
        <v>#DIV/0!</v>
      </c>
      <c r="MF26" s="10" t="e">
        <f>RANK(MD26,$MD$12:$MD$34)</f>
        <v>#DIV/0!</v>
      </c>
      <c r="MG26" s="40"/>
      <c r="MH26" s="40"/>
      <c r="MI26" s="40"/>
      <c r="MJ26" s="40"/>
      <c r="MK26" s="40"/>
      <c r="ML26" s="40"/>
      <c r="MM26" s="40"/>
      <c r="MN26" s="40"/>
      <c r="MO26" s="40"/>
      <c r="MP26" s="40"/>
      <c r="MQ26" s="40"/>
      <c r="MR26" s="40"/>
      <c r="MS26" s="40"/>
      <c r="MT26" s="40"/>
      <c r="MU26" s="40"/>
    </row>
    <row r="27" spans="2:359" x14ac:dyDescent="0.2">
      <c r="B27" s="8">
        <v>4</v>
      </c>
      <c r="C27" s="11" t="e">
        <f t="shared" si="6"/>
        <v>#DIV/0!</v>
      </c>
      <c r="D27" s="10" t="e">
        <f>RANK(C27,$C$24:$C$28)</f>
        <v>#DIV/0!</v>
      </c>
      <c r="E27" s="10" t="e">
        <f>RANK(C27,$C$12:$C$34)</f>
        <v>#DIV/0!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40"/>
      <c r="DU27" s="1"/>
      <c r="DV27" s="1"/>
      <c r="DW27" s="1"/>
      <c r="DX27" s="1"/>
      <c r="DY27" s="1"/>
      <c r="DZ27" s="40"/>
      <c r="EA27" s="40"/>
      <c r="EB27" s="40"/>
      <c r="EC27" s="40"/>
      <c r="ED27" s="1"/>
      <c r="EE27" s="1"/>
      <c r="EF27" s="1"/>
      <c r="EG27" s="1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  <c r="KH27" s="40"/>
      <c r="KI27" s="40"/>
      <c r="KJ27" s="40"/>
      <c r="KK27" s="40"/>
      <c r="KL27" s="40"/>
      <c r="KM27" s="40"/>
      <c r="KN27" s="40"/>
      <c r="KO27" s="40"/>
      <c r="KP27" s="40"/>
      <c r="KQ27" s="40"/>
      <c r="KR27" s="40"/>
      <c r="KS27" s="40"/>
      <c r="KT27" s="40"/>
      <c r="KU27" s="40"/>
      <c r="KV27" s="40"/>
      <c r="KW27" s="40"/>
      <c r="KX27" s="40"/>
      <c r="KY27" s="40"/>
      <c r="KZ27" s="40"/>
      <c r="LA27" s="40"/>
      <c r="LB27" s="40"/>
      <c r="LC27" s="40"/>
      <c r="LD27" s="40"/>
      <c r="LE27" s="40"/>
      <c r="LF27" s="40"/>
      <c r="LG27" s="40"/>
      <c r="LH27" s="40"/>
      <c r="LI27" s="40"/>
      <c r="LJ27" s="40"/>
      <c r="LK27" s="40"/>
      <c r="LL27" s="40"/>
      <c r="LM27" s="40"/>
      <c r="LN27" s="40"/>
      <c r="LO27" s="40"/>
      <c r="LP27" s="40"/>
      <c r="LQ27" s="40"/>
      <c r="LR27" s="40"/>
      <c r="LS27" s="40"/>
      <c r="LT27" s="40"/>
      <c r="LU27" s="40"/>
      <c r="LV27" s="40"/>
      <c r="LW27" s="40"/>
      <c r="LX27" s="40"/>
      <c r="LY27" s="40"/>
      <c r="LZ27" s="40"/>
      <c r="MC27" s="8">
        <v>4</v>
      </c>
      <c r="MD27" s="9" t="e">
        <f t="shared" si="3"/>
        <v>#DIV/0!</v>
      </c>
      <c r="ME27" s="10" t="e">
        <f>RANK(MD27,$MD$24:$MD$28)</f>
        <v>#DIV/0!</v>
      </c>
      <c r="MF27" s="10" t="e">
        <f>RANK(MD27,$MD$12:$MD$34)</f>
        <v>#DIV/0!</v>
      </c>
      <c r="MG27" s="40"/>
      <c r="MH27" s="40"/>
      <c r="MI27" s="40"/>
      <c r="MJ27" s="40"/>
      <c r="MK27" s="40"/>
      <c r="ML27" s="40"/>
      <c r="MM27" s="40"/>
      <c r="MN27" s="40"/>
      <c r="MO27" s="40"/>
      <c r="MP27" s="40"/>
      <c r="MQ27" s="40"/>
      <c r="MR27" s="40"/>
      <c r="MS27" s="40"/>
      <c r="MT27" s="40"/>
      <c r="MU27" s="40"/>
    </row>
    <row r="28" spans="2:359" ht="13.5" thickBot="1" x14ac:dyDescent="0.25">
      <c r="B28" s="8">
        <v>5</v>
      </c>
      <c r="C28" s="11" t="e">
        <f t="shared" si="6"/>
        <v>#DIV/0!</v>
      </c>
      <c r="D28" s="10" t="e">
        <f>RANK(C28,$C$24:$C$28)</f>
        <v>#DIV/0!</v>
      </c>
      <c r="E28" s="10" t="e">
        <f>RANK(C28,$C$12:$C$34)</f>
        <v>#DIV/0!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40"/>
      <c r="DU28" s="1"/>
      <c r="DV28" s="1"/>
      <c r="DW28" s="1"/>
      <c r="DX28" s="1"/>
      <c r="DY28" s="1"/>
      <c r="DZ28" s="40"/>
      <c r="EA28" s="40"/>
      <c r="EB28" s="40"/>
      <c r="EC28" s="40"/>
      <c r="ED28" s="1"/>
      <c r="EE28" s="1"/>
      <c r="EF28" s="1"/>
      <c r="EG28" s="1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  <c r="IW28" s="40"/>
      <c r="IX28" s="40"/>
      <c r="IY28" s="40"/>
      <c r="IZ28" s="40"/>
      <c r="JA28" s="40"/>
      <c r="JB28" s="40"/>
      <c r="JC28" s="40"/>
      <c r="JD28" s="40"/>
      <c r="JE28" s="40"/>
      <c r="JF28" s="40"/>
      <c r="JG28" s="40"/>
      <c r="JH28" s="40"/>
      <c r="JI28" s="40"/>
      <c r="JJ28" s="40"/>
      <c r="JK28" s="40"/>
      <c r="JL28" s="40"/>
      <c r="JM28" s="40"/>
      <c r="JN28" s="40"/>
      <c r="JO28" s="40"/>
      <c r="JP28" s="40"/>
      <c r="JQ28" s="40"/>
      <c r="JR28" s="40"/>
      <c r="JS28" s="40"/>
      <c r="JT28" s="40"/>
      <c r="JU28" s="40"/>
      <c r="JV28" s="40"/>
      <c r="JW28" s="40"/>
      <c r="JX28" s="40"/>
      <c r="JY28" s="40"/>
      <c r="JZ28" s="40"/>
      <c r="KA28" s="40"/>
      <c r="KB28" s="40"/>
      <c r="KC28" s="40"/>
      <c r="KD28" s="40"/>
      <c r="KE28" s="40"/>
      <c r="KF28" s="40"/>
      <c r="KG28" s="40"/>
      <c r="KH28" s="40"/>
      <c r="KI28" s="40"/>
      <c r="KJ28" s="40"/>
      <c r="KK28" s="40"/>
      <c r="KL28" s="40"/>
      <c r="KM28" s="40"/>
      <c r="KN28" s="40"/>
      <c r="KO28" s="40"/>
      <c r="KP28" s="40"/>
      <c r="KQ28" s="40"/>
      <c r="KR28" s="40"/>
      <c r="KS28" s="40"/>
      <c r="KT28" s="40"/>
      <c r="KU28" s="40"/>
      <c r="KV28" s="40"/>
      <c r="KW28" s="40"/>
      <c r="KX28" s="40"/>
      <c r="KY28" s="40"/>
      <c r="KZ28" s="40"/>
      <c r="LA28" s="40"/>
      <c r="LB28" s="40"/>
      <c r="LC28" s="40"/>
      <c r="LD28" s="40"/>
      <c r="LE28" s="40"/>
      <c r="LF28" s="40"/>
      <c r="LG28" s="40"/>
      <c r="LH28" s="40"/>
      <c r="LI28" s="40"/>
      <c r="LJ28" s="40"/>
      <c r="LK28" s="40"/>
      <c r="LL28" s="40"/>
      <c r="LM28" s="40"/>
      <c r="LN28" s="40"/>
      <c r="LO28" s="40"/>
      <c r="LP28" s="40"/>
      <c r="LQ28" s="40"/>
      <c r="LR28" s="40"/>
      <c r="LS28" s="40"/>
      <c r="LT28" s="40"/>
      <c r="LU28" s="40"/>
      <c r="LV28" s="40"/>
      <c r="LW28" s="40"/>
      <c r="LX28" s="40"/>
      <c r="LY28" s="40"/>
      <c r="LZ28" s="40"/>
      <c r="MC28" s="8">
        <v>5</v>
      </c>
      <c r="MD28" s="9" t="e">
        <f t="shared" si="3"/>
        <v>#DIV/0!</v>
      </c>
      <c r="ME28" s="10" t="e">
        <f>RANK(MD28,$MD$24:$MD$28)</f>
        <v>#DIV/0!</v>
      </c>
      <c r="MF28" s="10" t="e">
        <f>RANK(MD28,$MD$12:$MD$34)</f>
        <v>#DIV/0!</v>
      </c>
      <c r="MG28" s="40"/>
      <c r="MH28" s="40"/>
      <c r="MI28" s="40"/>
      <c r="MJ28" s="40"/>
      <c r="MK28" s="40"/>
      <c r="ML28" s="40"/>
      <c r="MM28" s="40"/>
      <c r="MN28" s="40"/>
      <c r="MO28" s="40"/>
      <c r="MP28" s="40"/>
      <c r="MQ28" s="40"/>
      <c r="MR28" s="40"/>
      <c r="MS28" s="40"/>
      <c r="MT28" s="40"/>
      <c r="MU28" s="40"/>
    </row>
    <row r="29" spans="2:359" ht="13.5" thickBot="1" x14ac:dyDescent="0.25">
      <c r="B29" s="405"/>
      <c r="C29" s="406"/>
      <c r="D29" s="406"/>
      <c r="E29" s="406"/>
      <c r="F29" s="406"/>
      <c r="G29" s="406"/>
      <c r="H29" s="406"/>
      <c r="I29" s="406"/>
      <c r="J29" s="406"/>
      <c r="K29" s="406"/>
      <c r="L29" s="406"/>
      <c r="M29" s="406"/>
      <c r="N29" s="406"/>
      <c r="O29" s="406"/>
      <c r="P29" s="406"/>
      <c r="Q29" s="406"/>
      <c r="R29" s="406"/>
      <c r="S29" s="406"/>
      <c r="T29" s="406"/>
      <c r="U29" s="406"/>
      <c r="V29" s="406"/>
      <c r="W29" s="406"/>
      <c r="X29" s="406"/>
      <c r="Y29" s="406"/>
      <c r="Z29" s="406"/>
      <c r="AA29" s="406"/>
      <c r="AB29" s="406"/>
      <c r="AC29" s="406"/>
      <c r="AD29" s="406"/>
      <c r="AE29" s="406"/>
      <c r="AF29" s="406"/>
      <c r="AG29" s="406"/>
      <c r="AH29" s="406"/>
      <c r="AI29" s="406"/>
      <c r="AJ29" s="406"/>
      <c r="AK29" s="406"/>
      <c r="AL29" s="406"/>
      <c r="AM29" s="406"/>
      <c r="AN29" s="406"/>
      <c r="AO29" s="406"/>
      <c r="AP29" s="406"/>
      <c r="AQ29" s="406"/>
      <c r="AR29" s="406"/>
      <c r="AS29" s="406"/>
      <c r="AT29" s="406"/>
      <c r="AU29" s="406"/>
      <c r="AV29" s="406"/>
      <c r="AW29" s="406"/>
      <c r="AX29" s="406"/>
      <c r="AY29" s="406"/>
      <c r="AZ29" s="406"/>
      <c r="BA29" s="406"/>
      <c r="BB29" s="406"/>
      <c r="BC29" s="406"/>
      <c r="BD29" s="406"/>
      <c r="BE29" s="406"/>
      <c r="BF29" s="406"/>
      <c r="BG29" s="406"/>
      <c r="BH29" s="406"/>
      <c r="BI29" s="406"/>
      <c r="BJ29" s="406"/>
      <c r="BK29" s="406"/>
      <c r="BL29" s="406"/>
      <c r="BM29" s="406"/>
      <c r="BN29" s="406"/>
      <c r="BO29" s="406"/>
      <c r="BP29" s="406"/>
      <c r="BQ29" s="406"/>
      <c r="BR29" s="406"/>
      <c r="BS29" s="406"/>
      <c r="BT29" s="406"/>
      <c r="BU29" s="406"/>
      <c r="BV29" s="406"/>
      <c r="BW29" s="406"/>
      <c r="BX29" s="406"/>
      <c r="BY29" s="406"/>
      <c r="BZ29" s="406"/>
      <c r="CA29" s="406"/>
      <c r="CB29" s="406"/>
      <c r="CC29" s="406"/>
      <c r="CD29" s="406"/>
      <c r="CE29" s="406"/>
      <c r="CF29" s="406"/>
      <c r="CG29" s="406"/>
      <c r="CH29" s="406"/>
      <c r="CI29" s="406"/>
      <c r="CJ29" s="406"/>
      <c r="CK29" s="406"/>
      <c r="CL29" s="406"/>
      <c r="CM29" s="406"/>
      <c r="CN29" s="406"/>
      <c r="CO29" s="406"/>
      <c r="CP29" s="406"/>
      <c r="CQ29" s="406"/>
      <c r="CR29" s="406"/>
      <c r="CS29" s="406"/>
      <c r="CT29" s="406"/>
      <c r="CU29" s="406"/>
      <c r="CV29" s="406"/>
      <c r="CW29" s="406"/>
      <c r="CX29" s="406"/>
      <c r="CY29" s="406"/>
      <c r="CZ29" s="406"/>
      <c r="DA29" s="406"/>
      <c r="DB29" s="406"/>
      <c r="DC29" s="406"/>
      <c r="DD29" s="406"/>
      <c r="DE29" s="406"/>
      <c r="DF29" s="406"/>
      <c r="DG29" s="406"/>
      <c r="DH29" s="357">
        <f>AI62</f>
        <v>0.25</v>
      </c>
      <c r="DI29" s="358"/>
      <c r="DJ29" s="364" t="e">
        <f>SUM(C30:C34)</f>
        <v>#DIV/0!</v>
      </c>
      <c r="DK29" s="410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43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  <c r="HI29" s="31"/>
      <c r="HJ29" s="31"/>
      <c r="HK29" s="31"/>
      <c r="HL29" s="31"/>
      <c r="HM29" s="31"/>
      <c r="HN29" s="31"/>
      <c r="HO29" s="31"/>
      <c r="HP29" s="31"/>
      <c r="HQ29" s="31"/>
      <c r="HR29" s="31"/>
      <c r="HS29" s="31"/>
      <c r="HT29" s="31"/>
      <c r="HU29" s="31"/>
      <c r="HV29" s="31"/>
      <c r="HW29" s="31"/>
      <c r="HX29" s="31"/>
      <c r="HY29" s="31"/>
      <c r="HZ29" s="31"/>
      <c r="IA29" s="31"/>
      <c r="IB29" s="31"/>
      <c r="IC29" s="31"/>
      <c r="ID29" s="31"/>
      <c r="IE29" s="31"/>
      <c r="IF29" s="31"/>
      <c r="IG29" s="31"/>
      <c r="IH29" s="31"/>
      <c r="II29" s="31"/>
      <c r="IJ29" s="31"/>
      <c r="IK29" s="31"/>
      <c r="IL29" s="31"/>
      <c r="IM29" s="31"/>
      <c r="IN29" s="31"/>
      <c r="IO29" s="31"/>
      <c r="IP29" s="31"/>
      <c r="IQ29" s="31"/>
      <c r="IR29" s="31"/>
      <c r="IS29" s="31"/>
      <c r="IT29" s="31"/>
      <c r="IU29" s="31"/>
      <c r="IV29" s="31"/>
      <c r="IW29" s="31"/>
      <c r="IX29" s="31"/>
      <c r="IY29" s="31"/>
      <c r="IZ29" s="31"/>
      <c r="JA29" s="31"/>
      <c r="JB29" s="31"/>
      <c r="JC29" s="31"/>
      <c r="JD29" s="31"/>
      <c r="JE29" s="31"/>
      <c r="JF29" s="31"/>
      <c r="JG29" s="31"/>
      <c r="JH29" s="31"/>
      <c r="JI29" s="31"/>
      <c r="JJ29" s="31"/>
      <c r="JK29" s="31"/>
      <c r="JL29" s="31"/>
      <c r="JM29" s="31"/>
      <c r="JN29" s="31"/>
      <c r="JO29" s="31"/>
      <c r="JP29" s="31"/>
      <c r="JQ29" s="31"/>
      <c r="JR29" s="31"/>
      <c r="JS29" s="31"/>
      <c r="JT29" s="31"/>
      <c r="JU29" s="31"/>
      <c r="JV29" s="31"/>
      <c r="JW29" s="31"/>
      <c r="JX29" s="31"/>
      <c r="JY29" s="31"/>
      <c r="JZ29" s="31"/>
      <c r="KA29" s="31"/>
      <c r="KB29" s="31"/>
      <c r="KC29" s="31"/>
      <c r="KD29" s="31"/>
      <c r="KE29" s="31"/>
      <c r="KF29" s="31"/>
      <c r="KG29" s="31"/>
      <c r="KH29" s="31"/>
      <c r="KI29" s="31"/>
      <c r="KJ29" s="31"/>
      <c r="KK29" s="31"/>
      <c r="KL29" s="31"/>
      <c r="KM29" s="31"/>
      <c r="KN29" s="31"/>
      <c r="KO29" s="31"/>
      <c r="KP29" s="31"/>
      <c r="KQ29" s="31"/>
      <c r="KR29" s="31"/>
      <c r="KS29" s="31"/>
      <c r="KT29" s="31"/>
      <c r="KU29" s="31"/>
      <c r="KV29" s="31"/>
      <c r="KW29" s="31"/>
      <c r="KX29" s="31"/>
      <c r="KY29" s="31"/>
      <c r="KZ29" s="31"/>
      <c r="LA29" s="31"/>
      <c r="LB29" s="31"/>
      <c r="LC29" s="31"/>
      <c r="LD29" s="31"/>
      <c r="LE29" s="31"/>
      <c r="LF29" s="31"/>
      <c r="LG29" s="31"/>
      <c r="LH29" s="31"/>
      <c r="LI29" s="31"/>
      <c r="LJ29" s="31"/>
      <c r="LK29" s="31"/>
      <c r="LL29" s="31"/>
      <c r="LM29" s="31"/>
      <c r="LN29" s="31"/>
      <c r="LO29" s="31"/>
      <c r="LP29" s="31"/>
      <c r="LQ29" s="31"/>
      <c r="LR29" s="31"/>
      <c r="LS29" s="31"/>
      <c r="LT29" s="31"/>
      <c r="LU29" s="31"/>
      <c r="LV29" s="31"/>
      <c r="LW29" s="31"/>
      <c r="LX29" s="31"/>
      <c r="LY29" s="31"/>
      <c r="LZ29" s="31"/>
      <c r="MC29" s="405" t="s">
        <v>15</v>
      </c>
      <c r="MD29" s="406"/>
      <c r="ME29" s="406"/>
      <c r="MF29" s="406"/>
      <c r="MG29" s="406"/>
      <c r="MH29" s="406"/>
      <c r="MI29" s="406"/>
      <c r="MJ29" s="406"/>
      <c r="MK29" s="406"/>
      <c r="ML29" s="125"/>
      <c r="MM29" s="357">
        <f>AI62</f>
        <v>0.25</v>
      </c>
      <c r="MN29" s="358" t="e">
        <f>AVERAGE(MD30:MD34)</f>
        <v>#DIV/0!</v>
      </c>
      <c r="MO29" s="364" t="e">
        <f>SUM(MD30:MD34)</f>
        <v>#DIV/0!</v>
      </c>
      <c r="MP29" s="365" t="e">
        <f>AVERAGE(MF30:MF34)</f>
        <v>#DIV/0!</v>
      </c>
    </row>
    <row r="30" spans="2:359" x14ac:dyDescent="0.2">
      <c r="B30" s="8">
        <v>1</v>
      </c>
      <c r="C30" s="11" t="e">
        <f>AVERAGE(F30:IM30)</f>
        <v>#DIV/0!</v>
      </c>
      <c r="D30" s="10" t="e">
        <f>RANK(C30,$C$30:$C$34)</f>
        <v>#DIV/0!</v>
      </c>
      <c r="E30" s="13" t="e">
        <f>RANK(C30,$C$12:$C$34)</f>
        <v>#DIV/0!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40"/>
      <c r="DU30" s="1"/>
      <c r="DV30" s="1"/>
      <c r="DW30" s="1"/>
      <c r="DX30" s="1"/>
      <c r="DY30" s="1"/>
      <c r="DZ30" s="40"/>
      <c r="EA30" s="40"/>
      <c r="EB30" s="40"/>
      <c r="EC30" s="40"/>
      <c r="ED30" s="1"/>
      <c r="EE30" s="1"/>
      <c r="EF30" s="1"/>
      <c r="EG30" s="1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  <c r="IU30" s="40"/>
      <c r="IV30" s="40"/>
      <c r="IW30" s="40"/>
      <c r="IX30" s="40"/>
      <c r="IY30" s="40"/>
      <c r="IZ30" s="40"/>
      <c r="JA30" s="40"/>
      <c r="JB30" s="40"/>
      <c r="JC30" s="40"/>
      <c r="JD30" s="40"/>
      <c r="JE30" s="40"/>
      <c r="JF30" s="40"/>
      <c r="JG30" s="40"/>
      <c r="JH30" s="40"/>
      <c r="JI30" s="40"/>
      <c r="JJ30" s="40"/>
      <c r="JK30" s="40"/>
      <c r="JL30" s="40"/>
      <c r="JM30" s="40"/>
      <c r="JN30" s="40"/>
      <c r="JO30" s="40"/>
      <c r="JP30" s="40"/>
      <c r="JQ30" s="40"/>
      <c r="JR30" s="40"/>
      <c r="JS30" s="40"/>
      <c r="JT30" s="40"/>
      <c r="JU30" s="40"/>
      <c r="JV30" s="40"/>
      <c r="JW30" s="40"/>
      <c r="JX30" s="40"/>
      <c r="JY30" s="40"/>
      <c r="JZ30" s="40"/>
      <c r="KA30" s="40"/>
      <c r="KB30" s="40"/>
      <c r="KC30" s="40"/>
      <c r="KD30" s="40"/>
      <c r="KE30" s="40"/>
      <c r="KF30" s="40"/>
      <c r="KG30" s="40"/>
      <c r="KH30" s="40"/>
      <c r="KI30" s="40"/>
      <c r="KJ30" s="40"/>
      <c r="KK30" s="40"/>
      <c r="KL30" s="40"/>
      <c r="KM30" s="40"/>
      <c r="KN30" s="40"/>
      <c r="KO30" s="40"/>
      <c r="KP30" s="40"/>
      <c r="KQ30" s="40"/>
      <c r="KR30" s="40"/>
      <c r="KS30" s="40"/>
      <c r="KT30" s="40"/>
      <c r="KU30" s="40"/>
      <c r="KV30" s="40"/>
      <c r="KW30" s="40"/>
      <c r="KX30" s="40"/>
      <c r="KY30" s="40"/>
      <c r="KZ30" s="40"/>
      <c r="LA30" s="40"/>
      <c r="LB30" s="40"/>
      <c r="LC30" s="40"/>
      <c r="LD30" s="40"/>
      <c r="LE30" s="40"/>
      <c r="LF30" s="40"/>
      <c r="LG30" s="40"/>
      <c r="LH30" s="40"/>
      <c r="LI30" s="40"/>
      <c r="LJ30" s="40"/>
      <c r="LK30" s="40"/>
      <c r="LL30" s="40"/>
      <c r="LM30" s="40"/>
      <c r="LN30" s="40"/>
      <c r="LO30" s="40"/>
      <c r="LP30" s="40"/>
      <c r="LQ30" s="40"/>
      <c r="LR30" s="40"/>
      <c r="LS30" s="40"/>
      <c r="LT30" s="40"/>
      <c r="LU30" s="40"/>
      <c r="LV30" s="40"/>
      <c r="LW30" s="40"/>
      <c r="LX30" s="40"/>
      <c r="LY30" s="40"/>
      <c r="LZ30" s="40"/>
      <c r="MC30" s="8">
        <v>1</v>
      </c>
      <c r="MD30" s="9" t="e">
        <f t="shared" si="3"/>
        <v>#DIV/0!</v>
      </c>
      <c r="ME30" s="10" t="e">
        <f>RANK(MD30,$MD$30:$MD$34)</f>
        <v>#DIV/0!</v>
      </c>
      <c r="MF30" s="10" t="e">
        <f>RANK(MD30,$MD$12:$MD$34)</f>
        <v>#DIV/0!</v>
      </c>
      <c r="MG30" s="40"/>
      <c r="MH30" s="40"/>
      <c r="MI30" s="40"/>
      <c r="MJ30" s="40"/>
      <c r="MK30" s="40"/>
      <c r="ML30" s="40"/>
      <c r="MM30" s="40"/>
      <c r="MN30" s="40"/>
      <c r="MO30" s="40"/>
      <c r="MP30" s="40"/>
      <c r="MQ30" s="40"/>
      <c r="MR30" s="40"/>
      <c r="MS30" s="40"/>
      <c r="MT30" s="40"/>
      <c r="MU30" s="40"/>
    </row>
    <row r="31" spans="2:359" x14ac:dyDescent="0.2">
      <c r="B31" s="8">
        <v>2</v>
      </c>
      <c r="C31" s="11" t="e">
        <f t="shared" ref="C31:C34" si="7">AVERAGE(F31:IM31)</f>
        <v>#DIV/0!</v>
      </c>
      <c r="D31" s="10" t="e">
        <f>RANK(C31,$C$30:$C$34)</f>
        <v>#DIV/0!</v>
      </c>
      <c r="E31" s="10" t="e">
        <f>RANK(C31,$C$12:$C$34)</f>
        <v>#DIV/0!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40"/>
      <c r="DU31" s="1"/>
      <c r="DV31" s="1"/>
      <c r="DW31" s="1"/>
      <c r="DX31" s="1"/>
      <c r="DY31" s="1"/>
      <c r="DZ31" s="40"/>
      <c r="EA31" s="40"/>
      <c r="EB31" s="40"/>
      <c r="EC31" s="40"/>
      <c r="ED31" s="1"/>
      <c r="EE31" s="1"/>
      <c r="EF31" s="1"/>
      <c r="EG31" s="1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  <c r="IU31" s="40"/>
      <c r="IV31" s="40"/>
      <c r="IW31" s="40"/>
      <c r="IX31" s="40"/>
      <c r="IY31" s="40"/>
      <c r="IZ31" s="40"/>
      <c r="JA31" s="40"/>
      <c r="JB31" s="40"/>
      <c r="JC31" s="40"/>
      <c r="JD31" s="40"/>
      <c r="JE31" s="40"/>
      <c r="JF31" s="40"/>
      <c r="JG31" s="40"/>
      <c r="JH31" s="40"/>
      <c r="JI31" s="40"/>
      <c r="JJ31" s="40"/>
      <c r="JK31" s="40"/>
      <c r="JL31" s="40"/>
      <c r="JM31" s="40"/>
      <c r="JN31" s="40"/>
      <c r="JO31" s="40"/>
      <c r="JP31" s="40"/>
      <c r="JQ31" s="40"/>
      <c r="JR31" s="40"/>
      <c r="JS31" s="40"/>
      <c r="JT31" s="40"/>
      <c r="JU31" s="40"/>
      <c r="JV31" s="40"/>
      <c r="JW31" s="40"/>
      <c r="JX31" s="40"/>
      <c r="JY31" s="40"/>
      <c r="JZ31" s="40"/>
      <c r="KA31" s="40"/>
      <c r="KB31" s="40"/>
      <c r="KC31" s="40"/>
      <c r="KD31" s="40"/>
      <c r="KE31" s="40"/>
      <c r="KF31" s="40"/>
      <c r="KG31" s="40"/>
      <c r="KH31" s="40"/>
      <c r="KI31" s="40"/>
      <c r="KJ31" s="40"/>
      <c r="KK31" s="40"/>
      <c r="KL31" s="40"/>
      <c r="KM31" s="40"/>
      <c r="KN31" s="40"/>
      <c r="KO31" s="40"/>
      <c r="KP31" s="40"/>
      <c r="KQ31" s="40"/>
      <c r="KR31" s="40"/>
      <c r="KS31" s="40"/>
      <c r="KT31" s="40"/>
      <c r="KU31" s="40"/>
      <c r="KV31" s="40"/>
      <c r="KW31" s="40"/>
      <c r="KX31" s="40"/>
      <c r="KY31" s="40"/>
      <c r="KZ31" s="40"/>
      <c r="LA31" s="40"/>
      <c r="LB31" s="40"/>
      <c r="LC31" s="40"/>
      <c r="LD31" s="40"/>
      <c r="LE31" s="40"/>
      <c r="LF31" s="40"/>
      <c r="LG31" s="40"/>
      <c r="LH31" s="40"/>
      <c r="LI31" s="40"/>
      <c r="LJ31" s="40"/>
      <c r="LK31" s="40"/>
      <c r="LL31" s="40"/>
      <c r="LM31" s="40"/>
      <c r="LN31" s="40"/>
      <c r="LO31" s="40"/>
      <c r="LP31" s="40"/>
      <c r="LQ31" s="40"/>
      <c r="LR31" s="40"/>
      <c r="LS31" s="40"/>
      <c r="LT31" s="40"/>
      <c r="LU31" s="40"/>
      <c r="LV31" s="40"/>
      <c r="LW31" s="40"/>
      <c r="LX31" s="40"/>
      <c r="LY31" s="40"/>
      <c r="LZ31" s="40"/>
      <c r="MC31" s="8">
        <v>2</v>
      </c>
      <c r="MD31" s="9" t="e">
        <f t="shared" si="3"/>
        <v>#DIV/0!</v>
      </c>
      <c r="ME31" s="10" t="e">
        <f>RANK(MD31,$MD$30:$MD$34)</f>
        <v>#DIV/0!</v>
      </c>
      <c r="MF31" s="10" t="e">
        <f>RANK(MD31,$MD$12:$MD$34)</f>
        <v>#DIV/0!</v>
      </c>
      <c r="MG31" s="40"/>
      <c r="MH31" s="40"/>
      <c r="MI31" s="40"/>
      <c r="MJ31" s="40"/>
      <c r="MK31" s="40"/>
      <c r="ML31" s="40"/>
      <c r="MM31" s="40"/>
      <c r="MN31" s="40"/>
      <c r="MO31" s="40"/>
      <c r="MP31" s="40"/>
      <c r="MQ31" s="40"/>
      <c r="MR31" s="40"/>
      <c r="MS31" s="40"/>
      <c r="MT31" s="40"/>
      <c r="MU31" s="40"/>
    </row>
    <row r="32" spans="2:359" x14ac:dyDescent="0.2">
      <c r="B32" s="8">
        <v>3</v>
      </c>
      <c r="C32" s="11" t="e">
        <f t="shared" si="7"/>
        <v>#DIV/0!</v>
      </c>
      <c r="D32" s="10" t="e">
        <f>RANK(C32,$C$30:$C$34)</f>
        <v>#DIV/0!</v>
      </c>
      <c r="E32" s="10" t="e">
        <f>RANK(C32,$C$12:$C$34)</f>
        <v>#DIV/0!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40"/>
      <c r="DU32" s="1"/>
      <c r="DV32" s="1"/>
      <c r="DW32" s="1"/>
      <c r="DX32" s="1"/>
      <c r="DY32" s="1"/>
      <c r="DZ32" s="40"/>
      <c r="EA32" s="40"/>
      <c r="EB32" s="40"/>
      <c r="EC32" s="40"/>
      <c r="ED32" s="1"/>
      <c r="EE32" s="1"/>
      <c r="EF32" s="1"/>
      <c r="EG32" s="1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  <c r="IU32" s="40"/>
      <c r="IV32" s="40"/>
      <c r="IW32" s="40"/>
      <c r="IX32" s="40"/>
      <c r="IY32" s="40"/>
      <c r="IZ32" s="40"/>
      <c r="JA32" s="40"/>
      <c r="JB32" s="40"/>
      <c r="JC32" s="40"/>
      <c r="JD32" s="40"/>
      <c r="JE32" s="40"/>
      <c r="JF32" s="40"/>
      <c r="JG32" s="40"/>
      <c r="JH32" s="40"/>
      <c r="JI32" s="40"/>
      <c r="JJ32" s="40"/>
      <c r="JK32" s="40"/>
      <c r="JL32" s="40"/>
      <c r="JM32" s="40"/>
      <c r="JN32" s="40"/>
      <c r="JO32" s="40"/>
      <c r="JP32" s="40"/>
      <c r="JQ32" s="40"/>
      <c r="JR32" s="40"/>
      <c r="JS32" s="40"/>
      <c r="JT32" s="40"/>
      <c r="JU32" s="40"/>
      <c r="JV32" s="40"/>
      <c r="JW32" s="40"/>
      <c r="JX32" s="40"/>
      <c r="JY32" s="40"/>
      <c r="JZ32" s="40"/>
      <c r="KA32" s="40"/>
      <c r="KB32" s="40"/>
      <c r="KC32" s="40"/>
      <c r="KD32" s="40"/>
      <c r="KE32" s="40"/>
      <c r="KF32" s="40"/>
      <c r="KG32" s="40"/>
      <c r="KH32" s="40"/>
      <c r="KI32" s="40"/>
      <c r="KJ32" s="40"/>
      <c r="KK32" s="40"/>
      <c r="KL32" s="40"/>
      <c r="KM32" s="40"/>
      <c r="KN32" s="40"/>
      <c r="KO32" s="40"/>
      <c r="KP32" s="40"/>
      <c r="KQ32" s="40"/>
      <c r="KR32" s="40"/>
      <c r="KS32" s="40"/>
      <c r="KT32" s="40"/>
      <c r="KU32" s="40"/>
      <c r="KV32" s="40"/>
      <c r="KW32" s="40"/>
      <c r="KX32" s="40"/>
      <c r="KY32" s="40"/>
      <c r="KZ32" s="40"/>
      <c r="LA32" s="40"/>
      <c r="LB32" s="40"/>
      <c r="LC32" s="40"/>
      <c r="LD32" s="40"/>
      <c r="LE32" s="40"/>
      <c r="LF32" s="40"/>
      <c r="LG32" s="40"/>
      <c r="LH32" s="40"/>
      <c r="LI32" s="40"/>
      <c r="LJ32" s="40"/>
      <c r="LK32" s="40"/>
      <c r="LL32" s="40"/>
      <c r="LM32" s="40"/>
      <c r="LN32" s="40"/>
      <c r="LO32" s="40"/>
      <c r="LP32" s="40"/>
      <c r="LQ32" s="40"/>
      <c r="LR32" s="40"/>
      <c r="LS32" s="40"/>
      <c r="LT32" s="40"/>
      <c r="LU32" s="40"/>
      <c r="LV32" s="40"/>
      <c r="LW32" s="40"/>
      <c r="LX32" s="40"/>
      <c r="LY32" s="40"/>
      <c r="LZ32" s="40"/>
      <c r="MC32" s="8">
        <v>3</v>
      </c>
      <c r="MD32" s="9" t="e">
        <f t="shared" si="3"/>
        <v>#DIV/0!</v>
      </c>
      <c r="ME32" s="10" t="e">
        <f>RANK(MD32,$MD$30:$MD$34)</f>
        <v>#DIV/0!</v>
      </c>
      <c r="MF32" s="10" t="e">
        <f>RANK(MD32,$MD$12:$MD$34)</f>
        <v>#DIV/0!</v>
      </c>
      <c r="MG32" s="40"/>
      <c r="MH32" s="40"/>
      <c r="MI32" s="40"/>
      <c r="MJ32" s="40"/>
      <c r="MK32" s="40"/>
      <c r="ML32" s="40"/>
      <c r="MM32" s="40"/>
      <c r="MN32" s="40"/>
      <c r="MO32" s="40"/>
      <c r="MP32" s="40"/>
      <c r="MQ32" s="40"/>
      <c r="MR32" s="40"/>
      <c r="MS32" s="40"/>
      <c r="MT32" s="40"/>
      <c r="MU32" s="40"/>
    </row>
    <row r="33" spans="2:359" x14ac:dyDescent="0.2">
      <c r="B33" s="8">
        <v>4</v>
      </c>
      <c r="C33" s="11" t="e">
        <f t="shared" si="7"/>
        <v>#DIV/0!</v>
      </c>
      <c r="D33" s="10" t="e">
        <f>RANK(C33,$C$30:$C$34)</f>
        <v>#DIV/0!</v>
      </c>
      <c r="E33" s="10" t="e">
        <f>RANK(C33,$C$12:$C$34)</f>
        <v>#DIV/0!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40"/>
      <c r="DU33" s="1"/>
      <c r="DV33" s="1"/>
      <c r="DW33" s="1"/>
      <c r="DX33" s="1"/>
      <c r="DY33" s="1"/>
      <c r="DZ33" s="40"/>
      <c r="EA33" s="40"/>
      <c r="EB33" s="40"/>
      <c r="EC33" s="40"/>
      <c r="ED33" s="1"/>
      <c r="EE33" s="1"/>
      <c r="EF33" s="1"/>
      <c r="EG33" s="1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  <c r="IU33" s="40"/>
      <c r="IV33" s="40"/>
      <c r="IW33" s="40"/>
      <c r="IX33" s="40"/>
      <c r="IY33" s="40"/>
      <c r="IZ33" s="40"/>
      <c r="JA33" s="40"/>
      <c r="JB33" s="40"/>
      <c r="JC33" s="40"/>
      <c r="JD33" s="40"/>
      <c r="JE33" s="40"/>
      <c r="JF33" s="40"/>
      <c r="JG33" s="40"/>
      <c r="JH33" s="40"/>
      <c r="JI33" s="40"/>
      <c r="JJ33" s="40"/>
      <c r="JK33" s="40"/>
      <c r="JL33" s="40"/>
      <c r="JM33" s="40"/>
      <c r="JN33" s="40"/>
      <c r="JO33" s="40"/>
      <c r="JP33" s="40"/>
      <c r="JQ33" s="40"/>
      <c r="JR33" s="40"/>
      <c r="JS33" s="40"/>
      <c r="JT33" s="40"/>
      <c r="JU33" s="40"/>
      <c r="JV33" s="40"/>
      <c r="JW33" s="40"/>
      <c r="JX33" s="40"/>
      <c r="JY33" s="40"/>
      <c r="JZ33" s="40"/>
      <c r="KA33" s="40"/>
      <c r="KB33" s="40"/>
      <c r="KC33" s="40"/>
      <c r="KD33" s="40"/>
      <c r="KE33" s="40"/>
      <c r="KF33" s="40"/>
      <c r="KG33" s="40"/>
      <c r="KH33" s="40"/>
      <c r="KI33" s="40"/>
      <c r="KJ33" s="40"/>
      <c r="KK33" s="40"/>
      <c r="KL33" s="40"/>
      <c r="KM33" s="40"/>
      <c r="KN33" s="40"/>
      <c r="KO33" s="40"/>
      <c r="KP33" s="40"/>
      <c r="KQ33" s="40"/>
      <c r="KR33" s="40"/>
      <c r="KS33" s="40"/>
      <c r="KT33" s="40"/>
      <c r="KU33" s="40"/>
      <c r="KV33" s="40"/>
      <c r="KW33" s="40"/>
      <c r="KX33" s="40"/>
      <c r="KY33" s="40"/>
      <c r="KZ33" s="40"/>
      <c r="LA33" s="40"/>
      <c r="LB33" s="40"/>
      <c r="LC33" s="40"/>
      <c r="LD33" s="40"/>
      <c r="LE33" s="40"/>
      <c r="LF33" s="40"/>
      <c r="LG33" s="40"/>
      <c r="LH33" s="40"/>
      <c r="LI33" s="40"/>
      <c r="LJ33" s="40"/>
      <c r="LK33" s="40"/>
      <c r="LL33" s="40"/>
      <c r="LM33" s="40"/>
      <c r="LN33" s="40"/>
      <c r="LO33" s="40"/>
      <c r="LP33" s="40"/>
      <c r="LQ33" s="40"/>
      <c r="LR33" s="40"/>
      <c r="LS33" s="40"/>
      <c r="LT33" s="40"/>
      <c r="LU33" s="40"/>
      <c r="LV33" s="40"/>
      <c r="LW33" s="40"/>
      <c r="LX33" s="40"/>
      <c r="LY33" s="40"/>
      <c r="LZ33" s="40"/>
      <c r="MC33" s="8">
        <v>4</v>
      </c>
      <c r="MD33" s="9" t="e">
        <f t="shared" si="3"/>
        <v>#DIV/0!</v>
      </c>
      <c r="ME33" s="10" t="e">
        <f>RANK(MD33,$MD$30:$MD$34)</f>
        <v>#DIV/0!</v>
      </c>
      <c r="MF33" s="10" t="e">
        <f>RANK(MD33,$MD$12:$MD$34)</f>
        <v>#DIV/0!</v>
      </c>
      <c r="MG33" s="40"/>
      <c r="MH33" s="40"/>
      <c r="MI33" s="40"/>
      <c r="MJ33" s="40"/>
      <c r="MK33" s="40"/>
      <c r="ML33" s="40"/>
      <c r="MM33" s="40"/>
      <c r="MN33" s="40"/>
      <c r="MO33" s="40"/>
      <c r="MP33" s="40"/>
      <c r="MQ33" s="40"/>
      <c r="MR33" s="40"/>
      <c r="MS33" s="40"/>
      <c r="MT33" s="40"/>
      <c r="MU33" s="40"/>
    </row>
    <row r="34" spans="2:359" ht="13.5" thickBot="1" x14ac:dyDescent="0.25">
      <c r="B34" s="8">
        <v>5</v>
      </c>
      <c r="C34" s="11" t="e">
        <f t="shared" si="7"/>
        <v>#DIV/0!</v>
      </c>
      <c r="D34" s="10" t="e">
        <f>RANK(C34,$C$30:$C$34)</f>
        <v>#DIV/0!</v>
      </c>
      <c r="E34" s="10" t="e">
        <f>RANK(C34,$C$12:$C$34)</f>
        <v>#DIV/0!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40"/>
      <c r="DU34" s="1"/>
      <c r="DV34" s="1"/>
      <c r="DW34" s="1"/>
      <c r="DX34" s="1"/>
      <c r="DY34" s="1"/>
      <c r="DZ34" s="40"/>
      <c r="EA34" s="40"/>
      <c r="EB34" s="40"/>
      <c r="EC34" s="40"/>
      <c r="ED34" s="1"/>
      <c r="EE34" s="1"/>
      <c r="EF34" s="1"/>
      <c r="EG34" s="1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  <c r="IU34" s="40"/>
      <c r="IV34" s="40"/>
      <c r="IW34" s="40"/>
      <c r="IX34" s="40"/>
      <c r="IY34" s="40"/>
      <c r="IZ34" s="40"/>
      <c r="JA34" s="40"/>
      <c r="JB34" s="40"/>
      <c r="JC34" s="40"/>
      <c r="JD34" s="40"/>
      <c r="JE34" s="40"/>
      <c r="JF34" s="40"/>
      <c r="JG34" s="40"/>
      <c r="JH34" s="40"/>
      <c r="JI34" s="40"/>
      <c r="JJ34" s="40"/>
      <c r="JK34" s="40"/>
      <c r="JL34" s="40"/>
      <c r="JM34" s="40"/>
      <c r="JN34" s="40"/>
      <c r="JO34" s="40"/>
      <c r="JP34" s="40"/>
      <c r="JQ34" s="40"/>
      <c r="JR34" s="40"/>
      <c r="JS34" s="40"/>
      <c r="JT34" s="40"/>
      <c r="JU34" s="40"/>
      <c r="JV34" s="40"/>
      <c r="JW34" s="40"/>
      <c r="JX34" s="40"/>
      <c r="JY34" s="40"/>
      <c r="JZ34" s="40"/>
      <c r="KA34" s="40"/>
      <c r="KB34" s="40"/>
      <c r="KC34" s="40"/>
      <c r="KD34" s="40"/>
      <c r="KE34" s="40"/>
      <c r="KF34" s="40"/>
      <c r="KG34" s="40"/>
      <c r="KH34" s="40"/>
      <c r="KI34" s="40"/>
      <c r="KJ34" s="40"/>
      <c r="KK34" s="40"/>
      <c r="KL34" s="40"/>
      <c r="KM34" s="40"/>
      <c r="KN34" s="40"/>
      <c r="KO34" s="40"/>
      <c r="KP34" s="40"/>
      <c r="KQ34" s="40"/>
      <c r="KR34" s="40"/>
      <c r="KS34" s="40"/>
      <c r="KT34" s="40"/>
      <c r="KU34" s="40"/>
      <c r="KV34" s="40"/>
      <c r="KW34" s="40"/>
      <c r="KX34" s="40"/>
      <c r="KY34" s="40"/>
      <c r="KZ34" s="40"/>
      <c r="LA34" s="40"/>
      <c r="LB34" s="40"/>
      <c r="LC34" s="40"/>
      <c r="LD34" s="40"/>
      <c r="LE34" s="40"/>
      <c r="LF34" s="40"/>
      <c r="LG34" s="40"/>
      <c r="LH34" s="40"/>
      <c r="LI34" s="40"/>
      <c r="LJ34" s="40"/>
      <c r="LK34" s="40"/>
      <c r="LL34" s="40"/>
      <c r="LM34" s="40"/>
      <c r="LN34" s="40"/>
      <c r="LO34" s="40"/>
      <c r="LP34" s="40"/>
      <c r="LQ34" s="40"/>
      <c r="LR34" s="40"/>
      <c r="LS34" s="40"/>
      <c r="LT34" s="40"/>
      <c r="LU34" s="40"/>
      <c r="LV34" s="40"/>
      <c r="LW34" s="40"/>
      <c r="LX34" s="40"/>
      <c r="LY34" s="40"/>
      <c r="LZ34" s="40"/>
      <c r="MC34" s="8">
        <v>5</v>
      </c>
      <c r="MD34" s="9" t="e">
        <f t="shared" si="3"/>
        <v>#DIV/0!</v>
      </c>
      <c r="ME34" s="10" t="e">
        <f>RANK(MD34,$MD$30:$MD$34)</f>
        <v>#DIV/0!</v>
      </c>
      <c r="MF34" s="10" t="e">
        <f>RANK(MD34,$MD$12:$MD$34)</f>
        <v>#DIV/0!</v>
      </c>
      <c r="MG34" s="40"/>
      <c r="MH34" s="40"/>
      <c r="MI34" s="40"/>
      <c r="MJ34" s="40"/>
      <c r="MK34" s="40"/>
      <c r="ML34" s="40"/>
      <c r="MM34" s="40"/>
      <c r="MN34" s="40"/>
      <c r="MO34" s="40"/>
      <c r="MP34" s="40"/>
      <c r="MQ34" s="40"/>
      <c r="MR34" s="40"/>
      <c r="MS34" s="40"/>
      <c r="MT34" s="40"/>
      <c r="MU34" s="40"/>
    </row>
    <row r="35" spans="2:359" ht="13.5" thickBot="1" x14ac:dyDescent="0.25">
      <c r="B35" s="364">
        <f>STDEVP(DC35:DZ35)</f>
        <v>0</v>
      </c>
      <c r="C35" s="365"/>
      <c r="D35" s="141"/>
      <c r="E35" s="143" t="s">
        <v>95</v>
      </c>
      <c r="F35" s="330">
        <f>SUM(F12:F16)+SUM(F18:F22)+SUM(F24:F28)+SUM(F30:F34)</f>
        <v>0</v>
      </c>
      <c r="G35" s="330">
        <f t="shared" ref="G35:BR35" si="8">SUM(G12:G16)+SUM(G18:G22)+SUM(G24:G28)+SUM(G30:G34)</f>
        <v>0</v>
      </c>
      <c r="H35" s="330">
        <f t="shared" si="8"/>
        <v>0</v>
      </c>
      <c r="I35" s="330">
        <f t="shared" si="8"/>
        <v>0</v>
      </c>
      <c r="J35" s="330">
        <f t="shared" si="8"/>
        <v>0</v>
      </c>
      <c r="K35" s="330">
        <f t="shared" si="8"/>
        <v>0</v>
      </c>
      <c r="L35" s="330">
        <f t="shared" si="8"/>
        <v>0</v>
      </c>
      <c r="M35" s="330">
        <f t="shared" si="8"/>
        <v>0</v>
      </c>
      <c r="N35" s="330">
        <f t="shared" si="8"/>
        <v>0</v>
      </c>
      <c r="O35" s="330">
        <f t="shared" si="8"/>
        <v>0</v>
      </c>
      <c r="P35" s="330">
        <f t="shared" si="8"/>
        <v>0</v>
      </c>
      <c r="Q35" s="330">
        <f t="shared" si="8"/>
        <v>0</v>
      </c>
      <c r="R35" s="330">
        <f t="shared" si="8"/>
        <v>0</v>
      </c>
      <c r="S35" s="330">
        <f t="shared" si="8"/>
        <v>0</v>
      </c>
      <c r="T35" s="330">
        <f t="shared" si="8"/>
        <v>0</v>
      </c>
      <c r="U35" s="330">
        <f t="shared" si="8"/>
        <v>0</v>
      </c>
      <c r="V35" s="330">
        <f t="shared" si="8"/>
        <v>0</v>
      </c>
      <c r="W35" s="330">
        <f t="shared" si="8"/>
        <v>0</v>
      </c>
      <c r="X35" s="330">
        <f t="shared" si="8"/>
        <v>0</v>
      </c>
      <c r="Y35" s="330">
        <f t="shared" si="8"/>
        <v>0</v>
      </c>
      <c r="Z35" s="330">
        <f t="shared" si="8"/>
        <v>0</v>
      </c>
      <c r="AA35" s="330">
        <f t="shared" si="8"/>
        <v>0</v>
      </c>
      <c r="AB35" s="330">
        <f t="shared" si="8"/>
        <v>0</v>
      </c>
      <c r="AC35" s="330">
        <f t="shared" si="8"/>
        <v>0</v>
      </c>
      <c r="AD35" s="330">
        <f t="shared" si="8"/>
        <v>0</v>
      </c>
      <c r="AE35" s="330">
        <f t="shared" si="8"/>
        <v>0</v>
      </c>
      <c r="AF35" s="330">
        <f t="shared" si="8"/>
        <v>0</v>
      </c>
      <c r="AG35" s="330">
        <f t="shared" si="8"/>
        <v>0</v>
      </c>
      <c r="AH35" s="330">
        <f t="shared" si="8"/>
        <v>0</v>
      </c>
      <c r="AI35" s="330">
        <f t="shared" si="8"/>
        <v>0</v>
      </c>
      <c r="AJ35" s="330">
        <f t="shared" si="8"/>
        <v>0</v>
      </c>
      <c r="AK35" s="330">
        <f t="shared" si="8"/>
        <v>0</v>
      </c>
      <c r="AL35" s="330">
        <f t="shared" si="8"/>
        <v>0</v>
      </c>
      <c r="AM35" s="330">
        <f t="shared" si="8"/>
        <v>0</v>
      </c>
      <c r="AN35" s="330">
        <f t="shared" si="8"/>
        <v>0</v>
      </c>
      <c r="AO35" s="330">
        <f t="shared" si="8"/>
        <v>0</v>
      </c>
      <c r="AP35" s="330">
        <f t="shared" si="8"/>
        <v>0</v>
      </c>
      <c r="AQ35" s="330">
        <f t="shared" si="8"/>
        <v>0</v>
      </c>
      <c r="AR35" s="330">
        <f t="shared" si="8"/>
        <v>0</v>
      </c>
      <c r="AS35" s="330">
        <f t="shared" si="8"/>
        <v>0</v>
      </c>
      <c r="AT35" s="330">
        <f t="shared" si="8"/>
        <v>0</v>
      </c>
      <c r="AU35" s="330">
        <f t="shared" si="8"/>
        <v>0</v>
      </c>
      <c r="AV35" s="330">
        <f t="shared" si="8"/>
        <v>0</v>
      </c>
      <c r="AW35" s="330">
        <f t="shared" si="8"/>
        <v>0</v>
      </c>
      <c r="AX35" s="330">
        <f t="shared" si="8"/>
        <v>0</v>
      </c>
      <c r="AY35" s="330">
        <f t="shared" si="8"/>
        <v>0</v>
      </c>
      <c r="AZ35" s="330">
        <f t="shared" si="8"/>
        <v>0</v>
      </c>
      <c r="BA35" s="330">
        <f t="shared" si="8"/>
        <v>0</v>
      </c>
      <c r="BB35" s="330">
        <f t="shared" si="8"/>
        <v>0</v>
      </c>
      <c r="BC35" s="330">
        <f t="shared" si="8"/>
        <v>0</v>
      </c>
      <c r="BD35" s="330">
        <f t="shared" si="8"/>
        <v>0</v>
      </c>
      <c r="BE35" s="330">
        <f t="shared" si="8"/>
        <v>0</v>
      </c>
      <c r="BF35" s="330">
        <f t="shared" si="8"/>
        <v>0</v>
      </c>
      <c r="BG35" s="330">
        <f t="shared" si="8"/>
        <v>0</v>
      </c>
      <c r="BH35" s="330">
        <f t="shared" si="8"/>
        <v>0</v>
      </c>
      <c r="BI35" s="330">
        <f t="shared" si="8"/>
        <v>0</v>
      </c>
      <c r="BJ35" s="330">
        <f t="shared" si="8"/>
        <v>0</v>
      </c>
      <c r="BK35" s="330">
        <f t="shared" si="8"/>
        <v>0</v>
      </c>
      <c r="BL35" s="330">
        <f t="shared" si="8"/>
        <v>0</v>
      </c>
      <c r="BM35" s="330">
        <f t="shared" si="8"/>
        <v>0</v>
      </c>
      <c r="BN35" s="330">
        <f t="shared" si="8"/>
        <v>0</v>
      </c>
      <c r="BO35" s="330">
        <f t="shared" si="8"/>
        <v>0</v>
      </c>
      <c r="BP35" s="330">
        <f t="shared" si="8"/>
        <v>0</v>
      </c>
      <c r="BQ35" s="330">
        <f t="shared" si="8"/>
        <v>0</v>
      </c>
      <c r="BR35" s="330">
        <f t="shared" si="8"/>
        <v>0</v>
      </c>
      <c r="BS35" s="330">
        <f>SUM(BS12:BS16)+SUM(BS18:BS22)+SUM(BS24:BS28)+SUM(BS30:BS34)</f>
        <v>0</v>
      </c>
      <c r="BT35" s="330">
        <f>SUM(BT12:BT16)+SUM(BT18:BT22)+SUM(BT24:BT28)+SUM(BT30:BT34)</f>
        <v>0</v>
      </c>
      <c r="BU35" s="330">
        <f t="shared" ref="BU35:EF35" si="9">SUM(BU12:BU16)+SUM(BU18:BU22)+SUM(BU24:BU28)+SUM(BU30:BU34)</f>
        <v>0</v>
      </c>
      <c r="BV35" s="330">
        <f t="shared" si="9"/>
        <v>0</v>
      </c>
      <c r="BW35" s="330">
        <f t="shared" si="9"/>
        <v>0</v>
      </c>
      <c r="BX35" s="330">
        <f t="shared" si="9"/>
        <v>0</v>
      </c>
      <c r="BY35" s="330">
        <f t="shared" si="9"/>
        <v>0</v>
      </c>
      <c r="BZ35" s="330">
        <f t="shared" si="9"/>
        <v>0</v>
      </c>
      <c r="CA35" s="330">
        <f t="shared" si="9"/>
        <v>0</v>
      </c>
      <c r="CB35" s="330">
        <f t="shared" si="9"/>
        <v>0</v>
      </c>
      <c r="CC35" s="330">
        <f t="shared" si="9"/>
        <v>0</v>
      </c>
      <c r="CD35" s="330">
        <f t="shared" si="9"/>
        <v>0</v>
      </c>
      <c r="CE35" s="330">
        <f t="shared" si="9"/>
        <v>0</v>
      </c>
      <c r="CF35" s="330">
        <f t="shared" si="9"/>
        <v>0</v>
      </c>
      <c r="CG35" s="330">
        <f t="shared" si="9"/>
        <v>0</v>
      </c>
      <c r="CH35" s="330">
        <f t="shared" si="9"/>
        <v>0</v>
      </c>
      <c r="CI35" s="330">
        <f t="shared" si="9"/>
        <v>0</v>
      </c>
      <c r="CJ35" s="330">
        <f t="shared" si="9"/>
        <v>0</v>
      </c>
      <c r="CK35" s="330">
        <f t="shared" si="9"/>
        <v>0</v>
      </c>
      <c r="CL35" s="330">
        <f t="shared" si="9"/>
        <v>0</v>
      </c>
      <c r="CM35" s="330">
        <f t="shared" si="9"/>
        <v>0</v>
      </c>
      <c r="CN35" s="330">
        <f t="shared" si="9"/>
        <v>0</v>
      </c>
      <c r="CO35" s="330">
        <f t="shared" si="9"/>
        <v>0</v>
      </c>
      <c r="CP35" s="330">
        <f t="shared" si="9"/>
        <v>0</v>
      </c>
      <c r="CQ35" s="330">
        <f t="shared" si="9"/>
        <v>0</v>
      </c>
      <c r="CR35" s="330">
        <f t="shared" si="9"/>
        <v>0</v>
      </c>
      <c r="CS35" s="330">
        <f t="shared" si="9"/>
        <v>0</v>
      </c>
      <c r="CT35" s="330">
        <f t="shared" si="9"/>
        <v>0</v>
      </c>
      <c r="CU35" s="330">
        <f t="shared" si="9"/>
        <v>0</v>
      </c>
      <c r="CV35" s="330">
        <f t="shared" si="9"/>
        <v>0</v>
      </c>
      <c r="CW35" s="330">
        <f t="shared" si="9"/>
        <v>0</v>
      </c>
      <c r="CX35" s="330">
        <f t="shared" si="9"/>
        <v>0</v>
      </c>
      <c r="CY35" s="330">
        <f t="shared" si="9"/>
        <v>0</v>
      </c>
      <c r="CZ35" s="330">
        <f t="shared" si="9"/>
        <v>0</v>
      </c>
      <c r="DA35" s="330">
        <f t="shared" si="9"/>
        <v>0</v>
      </c>
      <c r="DB35" s="330">
        <f t="shared" si="9"/>
        <v>0</v>
      </c>
      <c r="DC35" s="330">
        <f t="shared" si="9"/>
        <v>0</v>
      </c>
      <c r="DD35" s="330">
        <f t="shared" si="9"/>
        <v>0</v>
      </c>
      <c r="DE35" s="330">
        <f t="shared" si="9"/>
        <v>0</v>
      </c>
      <c r="DF35" s="330">
        <f t="shared" si="9"/>
        <v>0</v>
      </c>
      <c r="DG35" s="330">
        <f t="shared" si="9"/>
        <v>0</v>
      </c>
      <c r="DH35" s="330">
        <f t="shared" si="9"/>
        <v>0</v>
      </c>
      <c r="DI35" s="330">
        <f t="shared" si="9"/>
        <v>0</v>
      </c>
      <c r="DJ35" s="330">
        <f t="shared" si="9"/>
        <v>0</v>
      </c>
      <c r="DK35" s="330">
        <f t="shared" si="9"/>
        <v>0</v>
      </c>
      <c r="DL35" s="330">
        <f t="shared" si="9"/>
        <v>0</v>
      </c>
      <c r="DM35" s="330">
        <f t="shared" si="9"/>
        <v>0</v>
      </c>
      <c r="DN35" s="330">
        <f t="shared" si="9"/>
        <v>0</v>
      </c>
      <c r="DO35" s="330">
        <f t="shared" si="9"/>
        <v>0</v>
      </c>
      <c r="DP35" s="330">
        <f t="shared" si="9"/>
        <v>0</v>
      </c>
      <c r="DQ35" s="330">
        <f t="shared" si="9"/>
        <v>0</v>
      </c>
      <c r="DR35" s="330">
        <f t="shared" si="9"/>
        <v>0</v>
      </c>
      <c r="DS35" s="330">
        <f t="shared" si="9"/>
        <v>0</v>
      </c>
      <c r="DT35" s="330">
        <f t="shared" si="9"/>
        <v>0</v>
      </c>
      <c r="DU35" s="330">
        <f t="shared" si="9"/>
        <v>0</v>
      </c>
      <c r="DV35" s="330">
        <f t="shared" si="9"/>
        <v>0</v>
      </c>
      <c r="DW35" s="330">
        <f t="shared" si="9"/>
        <v>0</v>
      </c>
      <c r="DX35" s="330">
        <f t="shared" si="9"/>
        <v>0</v>
      </c>
      <c r="DY35" s="330">
        <f t="shared" si="9"/>
        <v>0</v>
      </c>
      <c r="DZ35" s="330">
        <f t="shared" si="9"/>
        <v>0</v>
      </c>
      <c r="EA35" s="330">
        <f t="shared" si="9"/>
        <v>0</v>
      </c>
      <c r="EB35" s="330">
        <f t="shared" si="9"/>
        <v>0</v>
      </c>
      <c r="EC35" s="330">
        <f t="shared" si="9"/>
        <v>0</v>
      </c>
      <c r="ED35" s="330">
        <f t="shared" si="9"/>
        <v>0</v>
      </c>
      <c r="EE35" s="330">
        <f t="shared" si="9"/>
        <v>0</v>
      </c>
      <c r="EF35" s="330">
        <f t="shared" si="9"/>
        <v>0</v>
      </c>
      <c r="EG35" s="330">
        <f t="shared" ref="EG35:GR35" si="10">SUM(EG12:EG16)+SUM(EG18:EG22)+SUM(EG24:EG28)+SUM(EG30:EG34)</f>
        <v>0</v>
      </c>
      <c r="EH35" s="330">
        <f t="shared" si="10"/>
        <v>0</v>
      </c>
      <c r="EI35" s="330">
        <f t="shared" si="10"/>
        <v>0</v>
      </c>
      <c r="EJ35" s="330">
        <f t="shared" si="10"/>
        <v>0</v>
      </c>
      <c r="EK35" s="330">
        <f t="shared" si="10"/>
        <v>0</v>
      </c>
      <c r="EL35" s="330">
        <f t="shared" si="10"/>
        <v>0</v>
      </c>
      <c r="EM35" s="330">
        <f t="shared" si="10"/>
        <v>0</v>
      </c>
      <c r="EN35" s="330">
        <f t="shared" si="10"/>
        <v>0</v>
      </c>
      <c r="EO35" s="330">
        <f t="shared" si="10"/>
        <v>0</v>
      </c>
      <c r="EP35" s="330">
        <f t="shared" si="10"/>
        <v>0</v>
      </c>
      <c r="EQ35" s="330">
        <f t="shared" si="10"/>
        <v>0</v>
      </c>
      <c r="ER35" s="330">
        <f t="shared" si="10"/>
        <v>0</v>
      </c>
      <c r="ES35" s="330">
        <f t="shared" si="10"/>
        <v>0</v>
      </c>
      <c r="ET35" s="330">
        <f t="shared" si="10"/>
        <v>0</v>
      </c>
      <c r="EU35" s="330">
        <f t="shared" si="10"/>
        <v>0</v>
      </c>
      <c r="EV35" s="330">
        <f t="shared" si="10"/>
        <v>0</v>
      </c>
      <c r="EW35" s="330">
        <f t="shared" si="10"/>
        <v>0</v>
      </c>
      <c r="EX35" s="330">
        <f t="shared" si="10"/>
        <v>0</v>
      </c>
      <c r="EY35" s="330">
        <f t="shared" si="10"/>
        <v>0</v>
      </c>
      <c r="EZ35" s="330">
        <f t="shared" si="10"/>
        <v>0</v>
      </c>
      <c r="FA35" s="330">
        <f t="shared" si="10"/>
        <v>0</v>
      </c>
      <c r="FB35" s="330">
        <f t="shared" si="10"/>
        <v>0</v>
      </c>
      <c r="FC35" s="330">
        <f t="shared" si="10"/>
        <v>0</v>
      </c>
      <c r="FD35" s="330">
        <f t="shared" si="10"/>
        <v>0</v>
      </c>
      <c r="FE35" s="330">
        <f t="shared" si="10"/>
        <v>0</v>
      </c>
      <c r="FF35" s="330">
        <f t="shared" si="10"/>
        <v>0</v>
      </c>
      <c r="FG35" s="330">
        <f t="shared" si="10"/>
        <v>0</v>
      </c>
      <c r="FH35" s="330">
        <f t="shared" si="10"/>
        <v>0</v>
      </c>
      <c r="FI35" s="330">
        <f t="shared" si="10"/>
        <v>0</v>
      </c>
      <c r="FJ35" s="330">
        <f t="shared" si="10"/>
        <v>0</v>
      </c>
      <c r="FK35" s="330">
        <f t="shared" si="10"/>
        <v>0</v>
      </c>
      <c r="FL35" s="330">
        <f t="shared" si="10"/>
        <v>0</v>
      </c>
      <c r="FM35" s="330">
        <f t="shared" si="10"/>
        <v>0</v>
      </c>
      <c r="FN35" s="330">
        <f t="shared" si="10"/>
        <v>0</v>
      </c>
      <c r="FO35" s="330">
        <f t="shared" si="10"/>
        <v>0</v>
      </c>
      <c r="FP35" s="330">
        <f t="shared" si="10"/>
        <v>0</v>
      </c>
      <c r="FQ35" s="330">
        <f t="shared" si="10"/>
        <v>0</v>
      </c>
      <c r="FR35" s="330">
        <f t="shared" si="10"/>
        <v>0</v>
      </c>
      <c r="FS35" s="330">
        <f t="shared" si="10"/>
        <v>0</v>
      </c>
      <c r="FT35" s="330">
        <f t="shared" si="10"/>
        <v>0</v>
      </c>
      <c r="FU35" s="330">
        <f t="shared" si="10"/>
        <v>0</v>
      </c>
      <c r="FV35" s="330">
        <f t="shared" si="10"/>
        <v>0</v>
      </c>
      <c r="FW35" s="330">
        <f t="shared" si="10"/>
        <v>0</v>
      </c>
      <c r="FX35" s="330">
        <f t="shared" si="10"/>
        <v>0</v>
      </c>
      <c r="FY35" s="330">
        <f t="shared" si="10"/>
        <v>0</v>
      </c>
      <c r="FZ35" s="330">
        <f t="shared" si="10"/>
        <v>0</v>
      </c>
      <c r="GA35" s="330">
        <f t="shared" si="10"/>
        <v>0</v>
      </c>
      <c r="GB35" s="330">
        <f t="shared" si="10"/>
        <v>0</v>
      </c>
      <c r="GC35" s="330">
        <f t="shared" si="10"/>
        <v>0</v>
      </c>
      <c r="GD35" s="330">
        <f t="shared" si="10"/>
        <v>0</v>
      </c>
      <c r="GE35" s="330">
        <f t="shared" si="10"/>
        <v>0</v>
      </c>
      <c r="GF35" s="330">
        <f t="shared" si="10"/>
        <v>0</v>
      </c>
      <c r="GG35" s="330">
        <f t="shared" si="10"/>
        <v>0</v>
      </c>
      <c r="GH35" s="330">
        <f t="shared" si="10"/>
        <v>0</v>
      </c>
      <c r="GI35" s="330">
        <f t="shared" si="10"/>
        <v>0</v>
      </c>
      <c r="GJ35" s="330">
        <f t="shared" si="10"/>
        <v>0</v>
      </c>
      <c r="GK35" s="330">
        <f t="shared" si="10"/>
        <v>0</v>
      </c>
      <c r="GL35" s="330">
        <f t="shared" si="10"/>
        <v>0</v>
      </c>
      <c r="GM35" s="330">
        <f t="shared" si="10"/>
        <v>0</v>
      </c>
      <c r="GN35" s="330">
        <f t="shared" si="10"/>
        <v>0</v>
      </c>
      <c r="GO35" s="330">
        <f t="shared" si="10"/>
        <v>0</v>
      </c>
      <c r="GP35" s="330">
        <f t="shared" si="10"/>
        <v>0</v>
      </c>
      <c r="GQ35" s="330">
        <f t="shared" si="10"/>
        <v>0</v>
      </c>
      <c r="GR35" s="330">
        <f t="shared" si="10"/>
        <v>0</v>
      </c>
      <c r="GS35" s="330">
        <f t="shared" ref="GS35:JD35" si="11">SUM(GS12:GS16)+SUM(GS18:GS22)+SUM(GS24:GS28)+SUM(GS30:GS34)</f>
        <v>0</v>
      </c>
      <c r="GT35" s="330">
        <f t="shared" si="11"/>
        <v>0</v>
      </c>
      <c r="GU35" s="330">
        <f t="shared" si="11"/>
        <v>0</v>
      </c>
      <c r="GV35" s="330">
        <f t="shared" si="11"/>
        <v>0</v>
      </c>
      <c r="GW35" s="330">
        <f t="shared" si="11"/>
        <v>0</v>
      </c>
      <c r="GX35" s="330">
        <f t="shared" si="11"/>
        <v>0</v>
      </c>
      <c r="GY35" s="330">
        <f t="shared" si="11"/>
        <v>0</v>
      </c>
      <c r="GZ35" s="330">
        <f t="shared" si="11"/>
        <v>0</v>
      </c>
      <c r="HA35" s="330">
        <f t="shared" si="11"/>
        <v>0</v>
      </c>
      <c r="HB35" s="330">
        <f t="shared" si="11"/>
        <v>0</v>
      </c>
      <c r="HC35" s="330">
        <f t="shared" si="11"/>
        <v>0</v>
      </c>
      <c r="HD35" s="330">
        <f t="shared" si="11"/>
        <v>0</v>
      </c>
      <c r="HE35" s="330">
        <f t="shared" si="11"/>
        <v>0</v>
      </c>
      <c r="HF35" s="330">
        <f t="shared" si="11"/>
        <v>0</v>
      </c>
      <c r="HG35" s="330">
        <f t="shared" si="11"/>
        <v>0</v>
      </c>
      <c r="HH35" s="330">
        <f t="shared" si="11"/>
        <v>0</v>
      </c>
      <c r="HI35" s="330">
        <f t="shared" si="11"/>
        <v>0</v>
      </c>
      <c r="HJ35" s="330">
        <f t="shared" si="11"/>
        <v>0</v>
      </c>
      <c r="HK35" s="330">
        <f t="shared" si="11"/>
        <v>0</v>
      </c>
      <c r="HL35" s="330">
        <f t="shared" si="11"/>
        <v>0</v>
      </c>
      <c r="HM35" s="330">
        <f t="shared" si="11"/>
        <v>0</v>
      </c>
      <c r="HN35" s="330">
        <f t="shared" si="11"/>
        <v>0</v>
      </c>
      <c r="HO35" s="330">
        <f t="shared" si="11"/>
        <v>0</v>
      </c>
      <c r="HP35" s="330">
        <f t="shared" si="11"/>
        <v>0</v>
      </c>
      <c r="HQ35" s="330">
        <f t="shared" si="11"/>
        <v>0</v>
      </c>
      <c r="HR35" s="330">
        <f t="shared" si="11"/>
        <v>0</v>
      </c>
      <c r="HS35" s="330">
        <f t="shared" si="11"/>
        <v>0</v>
      </c>
      <c r="HT35" s="330">
        <f t="shared" si="11"/>
        <v>0</v>
      </c>
      <c r="HU35" s="330">
        <f t="shared" si="11"/>
        <v>0</v>
      </c>
      <c r="HV35" s="330">
        <f t="shared" si="11"/>
        <v>0</v>
      </c>
      <c r="HW35" s="330">
        <f t="shared" si="11"/>
        <v>0</v>
      </c>
      <c r="HX35" s="330">
        <f t="shared" si="11"/>
        <v>0</v>
      </c>
      <c r="HY35" s="330">
        <f t="shared" si="11"/>
        <v>0</v>
      </c>
      <c r="HZ35" s="330">
        <f t="shared" si="11"/>
        <v>0</v>
      </c>
      <c r="IA35" s="330">
        <f t="shared" si="11"/>
        <v>0</v>
      </c>
      <c r="IB35" s="330">
        <f t="shared" si="11"/>
        <v>0</v>
      </c>
      <c r="IC35" s="330">
        <f t="shared" si="11"/>
        <v>0</v>
      </c>
      <c r="ID35" s="330">
        <f t="shared" si="11"/>
        <v>0</v>
      </c>
      <c r="IE35" s="330">
        <f t="shared" si="11"/>
        <v>0</v>
      </c>
      <c r="IF35" s="330">
        <f t="shared" si="11"/>
        <v>0</v>
      </c>
      <c r="IG35" s="330">
        <f t="shared" si="11"/>
        <v>0</v>
      </c>
      <c r="IH35" s="330">
        <f t="shared" si="11"/>
        <v>0</v>
      </c>
      <c r="II35" s="330">
        <f t="shared" si="11"/>
        <v>0</v>
      </c>
      <c r="IJ35" s="330">
        <f t="shared" si="11"/>
        <v>0</v>
      </c>
      <c r="IK35" s="330">
        <f t="shared" si="11"/>
        <v>0</v>
      </c>
      <c r="IL35" s="330">
        <f t="shared" si="11"/>
        <v>0</v>
      </c>
      <c r="IM35" s="330">
        <f t="shared" si="11"/>
        <v>0</v>
      </c>
      <c r="IN35" s="330">
        <f t="shared" si="11"/>
        <v>0</v>
      </c>
      <c r="IO35" s="330">
        <f t="shared" si="11"/>
        <v>0</v>
      </c>
      <c r="IP35" s="330">
        <f t="shared" si="11"/>
        <v>0</v>
      </c>
      <c r="IQ35" s="330">
        <f t="shared" si="11"/>
        <v>0</v>
      </c>
      <c r="IR35" s="330">
        <f t="shared" si="11"/>
        <v>0</v>
      </c>
      <c r="IS35" s="330">
        <f t="shared" si="11"/>
        <v>0</v>
      </c>
      <c r="IT35" s="330">
        <f t="shared" si="11"/>
        <v>0</v>
      </c>
      <c r="IU35" s="330">
        <f t="shared" si="11"/>
        <v>0</v>
      </c>
      <c r="IV35" s="330">
        <f t="shared" si="11"/>
        <v>0</v>
      </c>
      <c r="IW35" s="330">
        <f t="shared" si="11"/>
        <v>0</v>
      </c>
      <c r="IX35" s="330">
        <f t="shared" si="11"/>
        <v>0</v>
      </c>
      <c r="IY35" s="330">
        <f t="shared" si="11"/>
        <v>0</v>
      </c>
      <c r="IZ35" s="330">
        <f t="shared" si="11"/>
        <v>0</v>
      </c>
      <c r="JA35" s="330">
        <f t="shared" si="11"/>
        <v>0</v>
      </c>
      <c r="JB35" s="330">
        <f t="shared" si="11"/>
        <v>0</v>
      </c>
      <c r="JC35" s="330">
        <f t="shared" si="11"/>
        <v>0</v>
      </c>
      <c r="JD35" s="330">
        <f t="shared" si="11"/>
        <v>0</v>
      </c>
      <c r="JE35" s="330">
        <f t="shared" ref="JE35:LP35" si="12">SUM(JE12:JE16)+SUM(JE18:JE22)+SUM(JE24:JE28)+SUM(JE30:JE34)</f>
        <v>0</v>
      </c>
      <c r="JF35" s="330">
        <f t="shared" si="12"/>
        <v>0</v>
      </c>
      <c r="JG35" s="330">
        <f t="shared" si="12"/>
        <v>0</v>
      </c>
      <c r="JH35" s="330">
        <f t="shared" si="12"/>
        <v>0</v>
      </c>
      <c r="JI35" s="330">
        <f t="shared" si="12"/>
        <v>0</v>
      </c>
      <c r="JJ35" s="330">
        <f t="shared" si="12"/>
        <v>0</v>
      </c>
      <c r="JK35" s="330">
        <f t="shared" si="12"/>
        <v>0</v>
      </c>
      <c r="JL35" s="330">
        <f t="shared" si="12"/>
        <v>0</v>
      </c>
      <c r="JM35" s="330">
        <f t="shared" si="12"/>
        <v>0</v>
      </c>
      <c r="JN35" s="330">
        <f t="shared" si="12"/>
        <v>0</v>
      </c>
      <c r="JO35" s="330">
        <f t="shared" si="12"/>
        <v>0</v>
      </c>
      <c r="JP35" s="330">
        <f t="shared" si="12"/>
        <v>0</v>
      </c>
      <c r="JQ35" s="330">
        <f t="shared" si="12"/>
        <v>0</v>
      </c>
      <c r="JR35" s="330">
        <f t="shared" si="12"/>
        <v>0</v>
      </c>
      <c r="JS35" s="330">
        <f t="shared" si="12"/>
        <v>0</v>
      </c>
      <c r="JT35" s="330">
        <f t="shared" si="12"/>
        <v>0</v>
      </c>
      <c r="JU35" s="330">
        <f t="shared" si="12"/>
        <v>0</v>
      </c>
      <c r="JV35" s="330">
        <f t="shared" si="12"/>
        <v>0</v>
      </c>
      <c r="JW35" s="330">
        <f t="shared" si="12"/>
        <v>0</v>
      </c>
      <c r="JX35" s="330">
        <f t="shared" si="12"/>
        <v>0</v>
      </c>
      <c r="JY35" s="330">
        <f t="shared" si="12"/>
        <v>0</v>
      </c>
      <c r="JZ35" s="330">
        <f t="shared" si="12"/>
        <v>0</v>
      </c>
      <c r="KA35" s="330">
        <f t="shared" si="12"/>
        <v>0</v>
      </c>
      <c r="KB35" s="330">
        <f t="shared" si="12"/>
        <v>0</v>
      </c>
      <c r="KC35" s="330">
        <f t="shared" si="12"/>
        <v>0</v>
      </c>
      <c r="KD35" s="330">
        <f t="shared" si="12"/>
        <v>0</v>
      </c>
      <c r="KE35" s="330">
        <f t="shared" si="12"/>
        <v>0</v>
      </c>
      <c r="KF35" s="330">
        <f t="shared" si="12"/>
        <v>0</v>
      </c>
      <c r="KG35" s="330">
        <f t="shared" si="12"/>
        <v>0</v>
      </c>
      <c r="KH35" s="330">
        <f t="shared" si="12"/>
        <v>0</v>
      </c>
      <c r="KI35" s="330">
        <f t="shared" si="12"/>
        <v>0</v>
      </c>
      <c r="KJ35" s="330">
        <f t="shared" si="12"/>
        <v>0</v>
      </c>
      <c r="KK35" s="330">
        <f t="shared" si="12"/>
        <v>0</v>
      </c>
      <c r="KL35" s="330">
        <f t="shared" si="12"/>
        <v>0</v>
      </c>
      <c r="KM35" s="330">
        <f t="shared" si="12"/>
        <v>0</v>
      </c>
      <c r="KN35" s="330">
        <f t="shared" si="12"/>
        <v>0</v>
      </c>
      <c r="KO35" s="330">
        <f t="shared" si="12"/>
        <v>0</v>
      </c>
      <c r="KP35" s="330">
        <f t="shared" si="12"/>
        <v>0</v>
      </c>
      <c r="KQ35" s="330">
        <f t="shared" si="12"/>
        <v>0</v>
      </c>
      <c r="KR35" s="330">
        <f t="shared" si="12"/>
        <v>0</v>
      </c>
      <c r="KS35" s="330">
        <f t="shared" si="12"/>
        <v>0</v>
      </c>
      <c r="KT35" s="330">
        <f t="shared" si="12"/>
        <v>0</v>
      </c>
      <c r="KU35" s="330">
        <f t="shared" si="12"/>
        <v>0</v>
      </c>
      <c r="KV35" s="330">
        <f t="shared" si="12"/>
        <v>0</v>
      </c>
      <c r="KW35" s="330">
        <f t="shared" si="12"/>
        <v>0</v>
      </c>
      <c r="KX35" s="330">
        <f t="shared" si="12"/>
        <v>0</v>
      </c>
      <c r="KY35" s="330">
        <f t="shared" si="12"/>
        <v>0</v>
      </c>
      <c r="KZ35" s="330">
        <f t="shared" si="12"/>
        <v>0</v>
      </c>
      <c r="LA35" s="330">
        <f t="shared" si="12"/>
        <v>0</v>
      </c>
      <c r="LB35" s="330">
        <f t="shared" si="12"/>
        <v>0</v>
      </c>
      <c r="LC35" s="330">
        <f t="shared" si="12"/>
        <v>0</v>
      </c>
      <c r="LD35" s="330">
        <f t="shared" si="12"/>
        <v>0</v>
      </c>
      <c r="LE35" s="330">
        <f t="shared" si="12"/>
        <v>0</v>
      </c>
      <c r="LF35" s="330">
        <f t="shared" si="12"/>
        <v>0</v>
      </c>
      <c r="LG35" s="330">
        <f t="shared" si="12"/>
        <v>0</v>
      </c>
      <c r="LH35" s="330">
        <f t="shared" si="12"/>
        <v>0</v>
      </c>
      <c r="LI35" s="330">
        <f t="shared" si="12"/>
        <v>0</v>
      </c>
      <c r="LJ35" s="330">
        <f t="shared" si="12"/>
        <v>0</v>
      </c>
      <c r="LK35" s="330">
        <f t="shared" si="12"/>
        <v>0</v>
      </c>
      <c r="LL35" s="330">
        <f t="shared" si="12"/>
        <v>0</v>
      </c>
      <c r="LM35" s="330">
        <f t="shared" si="12"/>
        <v>0</v>
      </c>
      <c r="LN35" s="330">
        <f t="shared" si="12"/>
        <v>0</v>
      </c>
      <c r="LO35" s="330">
        <f t="shared" si="12"/>
        <v>0</v>
      </c>
      <c r="LP35" s="330">
        <f t="shared" si="12"/>
        <v>0</v>
      </c>
      <c r="LQ35" s="330">
        <f t="shared" ref="LQ35" si="13">SUM(LQ12:LQ16)+SUM(LQ18:LQ22)+SUM(LQ24:LQ28)+SUM(LQ30:LQ34)</f>
        <v>0</v>
      </c>
      <c r="LR35" s="339"/>
      <c r="LS35" s="339"/>
      <c r="LT35" s="339"/>
      <c r="LU35" s="339"/>
      <c r="LV35" s="339"/>
      <c r="LW35" s="339"/>
      <c r="LX35" s="339"/>
      <c r="LY35" s="339"/>
      <c r="LZ35" s="339"/>
      <c r="MC35" s="364">
        <f>STDEVP(MG35:MK35)</f>
        <v>0</v>
      </c>
      <c r="MD35" s="365"/>
      <c r="ME35" s="141"/>
      <c r="MF35" s="142" t="s">
        <v>96</v>
      </c>
      <c r="MG35" s="123">
        <f t="shared" ref="MG35:MU35" si="14">SUM(MG30:MG34)+SUM(MG24:MG28)+SUM(MG18:MG22)+SUM(MG12:MG16)</f>
        <v>0</v>
      </c>
      <c r="MH35" s="123">
        <f t="shared" si="14"/>
        <v>0</v>
      </c>
      <c r="MI35" s="123">
        <f t="shared" si="14"/>
        <v>0</v>
      </c>
      <c r="MJ35" s="123">
        <f t="shared" si="14"/>
        <v>0</v>
      </c>
      <c r="MK35" s="123">
        <f t="shared" si="14"/>
        <v>0</v>
      </c>
      <c r="ML35" s="123">
        <f t="shared" si="14"/>
        <v>0</v>
      </c>
      <c r="MM35" s="123">
        <f t="shared" si="14"/>
        <v>0</v>
      </c>
      <c r="MN35" s="123">
        <f t="shared" si="14"/>
        <v>0</v>
      </c>
      <c r="MO35" s="123">
        <f t="shared" si="14"/>
        <v>0</v>
      </c>
      <c r="MP35" s="124">
        <f t="shared" si="14"/>
        <v>0</v>
      </c>
      <c r="MQ35" s="124">
        <f t="shared" si="14"/>
        <v>0</v>
      </c>
      <c r="MR35" s="124">
        <f t="shared" si="14"/>
        <v>0</v>
      </c>
      <c r="MS35" s="124">
        <f t="shared" si="14"/>
        <v>0</v>
      </c>
      <c r="MT35" s="124">
        <f t="shared" si="14"/>
        <v>0</v>
      </c>
      <c r="MU35" s="124">
        <f t="shared" si="14"/>
        <v>0</v>
      </c>
    </row>
    <row r="36" spans="2:359" ht="13.5" thickBot="1" x14ac:dyDescent="0.25">
      <c r="B36" s="135"/>
      <c r="C36" s="136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  <c r="CC36" s="137"/>
      <c r="CD36" s="137"/>
      <c r="CE36" s="137"/>
      <c r="CF36" s="137"/>
      <c r="CG36" s="137"/>
      <c r="CH36" s="137"/>
      <c r="CI36" s="137"/>
      <c r="CJ36" s="137"/>
      <c r="CK36" s="137"/>
      <c r="CL36" s="137"/>
      <c r="CM36" s="137"/>
      <c r="CN36" s="137"/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7"/>
      <c r="DB36" s="137"/>
      <c r="DC36" s="138"/>
      <c r="DD36" s="138"/>
      <c r="DE36" s="138"/>
      <c r="DF36" s="139"/>
      <c r="DG36" s="139"/>
      <c r="DH36" s="138"/>
      <c r="DI36" s="140" t="s">
        <v>94</v>
      </c>
      <c r="DJ36" s="449" t="e">
        <f>DJ11+DJ17+DJ23+DJ29</f>
        <v>#DIV/0!</v>
      </c>
      <c r="DK36" s="450"/>
      <c r="MC36" s="114"/>
      <c r="MD36" s="115"/>
      <c r="ME36" s="115"/>
      <c r="MF36" s="115"/>
      <c r="MG36" s="115"/>
      <c r="MH36" s="115"/>
      <c r="MI36" s="115"/>
      <c r="MJ36" s="115"/>
      <c r="MK36" s="115"/>
      <c r="ML36" s="115"/>
      <c r="MM36" s="115"/>
      <c r="MN36" s="118" t="s">
        <v>94</v>
      </c>
      <c r="MO36" s="440" t="e">
        <f>MO11+MO17+MO23+MO29</f>
        <v>#DIV/0!</v>
      </c>
      <c r="MP36" s="400"/>
    </row>
    <row r="37" spans="2:359" x14ac:dyDescent="0.2">
      <c r="B37" s="1"/>
      <c r="C37" s="1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67"/>
      <c r="DF37" s="120"/>
      <c r="DG37" s="120"/>
      <c r="MM37" s="67"/>
      <c r="MN37" s="1"/>
      <c r="MO37" s="1"/>
    </row>
    <row r="38" spans="2:359" x14ac:dyDescent="0.2">
      <c r="B38" s="1"/>
      <c r="C38" s="1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2:359" x14ac:dyDescent="0.2">
      <c r="B39" t="s">
        <v>3</v>
      </c>
      <c r="DC39" s="407" t="str">
        <f>DC6</f>
        <v xml:space="preserve">,  </v>
      </c>
      <c r="DD39" s="408"/>
      <c r="DE39" s="408"/>
      <c r="DF39" s="408"/>
      <c r="DG39" s="408"/>
      <c r="DH39" s="408"/>
      <c r="DI39" s="408"/>
      <c r="DJ39" s="408"/>
      <c r="DK39" s="408"/>
      <c r="DL39" s="408"/>
      <c r="DM39" s="409"/>
      <c r="MB39" t="s">
        <v>4</v>
      </c>
      <c r="MG39" s="407">
        <f>MG6</f>
        <v>0</v>
      </c>
      <c r="MH39" s="408"/>
      <c r="MI39" s="408"/>
      <c r="MJ39" s="408"/>
      <c r="MK39" s="408"/>
      <c r="ML39" s="408"/>
      <c r="MM39" s="408"/>
      <c r="MN39" s="408"/>
      <c r="MO39" s="409"/>
    </row>
    <row r="40" spans="2:359" ht="13.5" thickBot="1" x14ac:dyDescent="0.25">
      <c r="B40" s="1"/>
      <c r="C40" s="1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2:359" ht="13.5" thickBot="1" x14ac:dyDescent="0.25">
      <c r="B41" s="1"/>
      <c r="C41" s="1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335" t="s">
        <v>9</v>
      </c>
      <c r="Y41" s="336"/>
      <c r="Z41" s="336"/>
      <c r="AA41" s="336"/>
      <c r="AB41" s="336"/>
      <c r="AC41" s="336"/>
      <c r="AD41" s="336"/>
      <c r="AE41" s="336"/>
      <c r="AF41" s="336"/>
      <c r="AG41" s="336"/>
      <c r="AH41" s="336"/>
      <c r="AI41" s="336"/>
      <c r="AJ41" s="336"/>
      <c r="AK41" s="336"/>
      <c r="AL41" s="336"/>
      <c r="AM41" s="336"/>
      <c r="AN41" s="401" t="s">
        <v>111</v>
      </c>
      <c r="AO41" s="401"/>
      <c r="AP41" s="402"/>
      <c r="AQ41" s="392" t="s">
        <v>8</v>
      </c>
      <c r="AR41" s="390"/>
      <c r="AS41" s="391"/>
      <c r="AT41" s="390" t="s">
        <v>24</v>
      </c>
      <c r="AU41" s="390"/>
      <c r="AV41" s="391"/>
      <c r="AW41" s="336"/>
      <c r="AX41" s="336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MH41" s="15"/>
      <c r="MI41" s="15"/>
      <c r="MJ41" s="15"/>
      <c r="MK41" s="15"/>
      <c r="ML41" s="15"/>
      <c r="MM41" s="15"/>
      <c r="MN41" s="15"/>
      <c r="MO41" s="16"/>
    </row>
    <row r="42" spans="2:359" ht="13.5" thickBot="1" x14ac:dyDescent="0.25">
      <c r="B42" s="195" t="s">
        <v>18</v>
      </c>
      <c r="C42" s="196"/>
      <c r="D42" s="196"/>
      <c r="E42" s="196"/>
      <c r="F42" s="196"/>
      <c r="G42" s="196"/>
      <c r="H42" s="197"/>
      <c r="I42" s="424">
        <f>AI43</f>
        <v>0.25</v>
      </c>
      <c r="J42" s="434"/>
      <c r="K42" s="105"/>
      <c r="L42" s="105"/>
      <c r="M42" s="105"/>
      <c r="N42" s="411" t="s">
        <v>19</v>
      </c>
      <c r="O42" s="412"/>
      <c r="P42" s="412"/>
      <c r="Q42" s="412"/>
      <c r="R42" s="412"/>
      <c r="S42" s="412"/>
      <c r="T42" s="413"/>
      <c r="U42" s="424">
        <f>AK43</f>
        <v>0.25</v>
      </c>
      <c r="V42" s="425"/>
      <c r="W42" s="105"/>
      <c r="X42" s="2"/>
      <c r="Y42" s="430" t="s">
        <v>8</v>
      </c>
      <c r="Z42" s="431"/>
      <c r="AA42" s="416" t="s">
        <v>6</v>
      </c>
      <c r="AB42" s="417"/>
      <c r="AC42" s="417"/>
      <c r="AD42" s="417"/>
      <c r="AE42" s="387" t="s">
        <v>20</v>
      </c>
      <c r="AF42" s="388"/>
      <c r="AG42" s="389" t="s">
        <v>21</v>
      </c>
      <c r="AH42" s="388"/>
      <c r="AI42" s="389" t="s">
        <v>22</v>
      </c>
      <c r="AJ42" s="388"/>
      <c r="AK42" s="389" t="s">
        <v>23</v>
      </c>
      <c r="AL42" s="396"/>
      <c r="AM42" s="325"/>
      <c r="AN42" s="403"/>
      <c r="AO42" s="403"/>
      <c r="AP42" s="404"/>
      <c r="AQ42" s="393" t="s">
        <v>25</v>
      </c>
      <c r="AR42" s="394"/>
      <c r="AS42" s="395"/>
      <c r="AT42" s="394" t="s">
        <v>8</v>
      </c>
      <c r="AU42" s="394"/>
      <c r="AV42" s="395"/>
      <c r="AW42" s="325"/>
      <c r="AX42" s="32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H42" s="41"/>
      <c r="DI42" s="41"/>
      <c r="EW42" s="105"/>
      <c r="EX42" s="105"/>
      <c r="EY42" s="105"/>
      <c r="EZ42" s="105"/>
      <c r="FA42" s="105"/>
      <c r="FB42" s="105"/>
      <c r="FC42" s="105"/>
      <c r="FD42" s="105"/>
      <c r="FE42" s="105"/>
      <c r="FF42" s="105"/>
      <c r="FG42" s="105"/>
      <c r="FH42" s="105"/>
      <c r="FI42" s="105"/>
      <c r="FJ42" s="105"/>
      <c r="FK42" s="105"/>
      <c r="FL42" s="105"/>
      <c r="FM42" s="105"/>
      <c r="FN42" s="105"/>
      <c r="FO42" s="105"/>
      <c r="FP42" s="105"/>
      <c r="FQ42" s="105"/>
      <c r="FR42" s="105"/>
      <c r="FS42" s="105"/>
      <c r="FT42" s="105"/>
      <c r="FU42" s="105"/>
      <c r="FV42" s="105"/>
      <c r="FW42" s="105"/>
      <c r="FX42" s="105"/>
      <c r="FY42" s="105"/>
      <c r="FZ42" s="105"/>
      <c r="GA42" s="105"/>
      <c r="GB42" s="105"/>
      <c r="GC42" s="105"/>
      <c r="GD42" s="105"/>
      <c r="GE42" s="105"/>
      <c r="GF42" s="105"/>
      <c r="GG42" s="105"/>
      <c r="GH42" s="105"/>
      <c r="GI42" s="105"/>
      <c r="GJ42" s="105"/>
      <c r="GK42" s="105"/>
      <c r="GL42" s="105"/>
      <c r="GM42" s="105"/>
      <c r="GN42" s="105"/>
      <c r="GO42" s="105"/>
      <c r="GP42" s="105"/>
      <c r="GQ42" s="105"/>
      <c r="GR42" s="105"/>
      <c r="GS42" s="105"/>
      <c r="GT42" s="105"/>
      <c r="GU42" s="105"/>
      <c r="GV42" s="105"/>
      <c r="GW42" s="105"/>
      <c r="GX42" s="105"/>
      <c r="GY42" s="105"/>
      <c r="GZ42" s="105"/>
      <c r="HA42" s="105"/>
      <c r="HB42" s="105"/>
      <c r="HC42" s="105"/>
      <c r="HD42" s="105"/>
      <c r="HE42" s="105"/>
      <c r="HF42" s="105"/>
      <c r="HG42" s="105"/>
      <c r="HH42" s="105"/>
      <c r="HI42" s="105"/>
      <c r="HJ42" s="105"/>
      <c r="HK42" s="105"/>
      <c r="HL42" s="105"/>
      <c r="HM42" s="105"/>
      <c r="HN42" s="105"/>
      <c r="HO42" s="105"/>
      <c r="HP42" s="105"/>
      <c r="HQ42" s="105"/>
      <c r="HR42" s="105"/>
      <c r="HS42" s="105"/>
      <c r="HT42" s="105"/>
      <c r="HU42" s="105"/>
      <c r="HV42" s="105"/>
      <c r="HW42" s="105"/>
      <c r="HX42" s="105"/>
      <c r="HY42" s="105"/>
      <c r="HZ42" s="105"/>
      <c r="IA42" s="105"/>
      <c r="IB42" s="105"/>
      <c r="IC42" s="105"/>
      <c r="ID42" s="105"/>
      <c r="IE42" s="105"/>
      <c r="IF42" s="105"/>
      <c r="IG42" s="105"/>
      <c r="IH42" s="105"/>
      <c r="II42" s="105"/>
      <c r="IJ42" s="105"/>
      <c r="IK42" s="105"/>
      <c r="IL42" s="105"/>
      <c r="IM42" s="105"/>
      <c r="IN42" s="105"/>
      <c r="IO42" s="105"/>
      <c r="IP42" s="105"/>
      <c r="IQ42" s="105"/>
      <c r="IR42" s="105"/>
      <c r="IS42" s="105"/>
      <c r="IT42" s="105"/>
      <c r="IU42" s="105"/>
      <c r="IV42" s="105"/>
      <c r="IW42" s="105"/>
      <c r="IX42" s="105"/>
      <c r="IY42" s="105"/>
      <c r="IZ42" s="105"/>
      <c r="JA42" s="105"/>
      <c r="JB42" s="105"/>
      <c r="JC42" s="105"/>
      <c r="JD42" s="105"/>
      <c r="JE42" s="105"/>
      <c r="JF42" s="105"/>
      <c r="JG42" s="105"/>
      <c r="JH42" s="105"/>
      <c r="JI42" s="105"/>
      <c r="JJ42" s="105"/>
      <c r="JK42" s="105"/>
      <c r="JL42" s="105"/>
      <c r="JM42" s="105"/>
      <c r="JN42" s="105"/>
      <c r="JO42" s="105"/>
      <c r="JP42" s="105"/>
      <c r="JQ42" s="105"/>
      <c r="JR42" s="105"/>
      <c r="JS42" s="105"/>
      <c r="JT42" s="105"/>
      <c r="JU42" s="105"/>
      <c r="JV42" s="105"/>
      <c r="JW42" s="105"/>
      <c r="JX42" s="105"/>
      <c r="JY42" s="105"/>
      <c r="JZ42" s="105"/>
      <c r="KA42" s="105"/>
      <c r="KB42" s="105"/>
      <c r="KC42" s="105"/>
      <c r="KD42" s="105"/>
      <c r="KE42" s="105"/>
      <c r="KF42" s="105"/>
      <c r="KG42" s="105"/>
      <c r="KH42" s="105"/>
      <c r="KI42" s="105"/>
      <c r="KJ42" s="105"/>
      <c r="KK42" s="105"/>
      <c r="KL42" s="105"/>
      <c r="KM42" s="105"/>
      <c r="KN42" s="105"/>
      <c r="KO42" s="105"/>
      <c r="KP42" s="105"/>
      <c r="KQ42" s="105"/>
      <c r="KR42" s="105"/>
      <c r="KS42" s="105"/>
      <c r="KT42" s="105"/>
      <c r="KU42" s="105"/>
      <c r="KV42" s="105"/>
      <c r="KW42" s="105"/>
      <c r="KX42" s="105"/>
      <c r="KY42" s="105"/>
      <c r="KZ42" s="105"/>
      <c r="LA42" s="105"/>
      <c r="LB42" s="105"/>
      <c r="LC42" s="105"/>
      <c r="LD42" s="105"/>
      <c r="LE42" s="105"/>
      <c r="LF42" s="105"/>
      <c r="LG42" s="105"/>
      <c r="LH42" s="105"/>
      <c r="LI42" s="105"/>
      <c r="LJ42" s="105"/>
      <c r="LK42" s="105"/>
      <c r="LL42" s="105"/>
      <c r="LM42" s="105"/>
      <c r="LN42" s="105"/>
      <c r="LO42" s="105"/>
      <c r="LP42" s="105"/>
      <c r="LQ42" s="105"/>
      <c r="LR42" s="105"/>
      <c r="LS42" s="105"/>
      <c r="LT42" s="105"/>
      <c r="LU42" s="105"/>
      <c r="LV42" s="105"/>
      <c r="LW42" s="105"/>
      <c r="LX42" s="105"/>
      <c r="LY42" s="105"/>
      <c r="LZ42" s="105"/>
      <c r="MA42" s="336"/>
      <c r="MB42" s="336"/>
      <c r="MC42" s="336"/>
      <c r="MD42" s="336"/>
      <c r="MN42" s="17"/>
      <c r="MO42" s="18"/>
    </row>
    <row r="43" spans="2:359" ht="13.5" thickBot="1" x14ac:dyDescent="0.25">
      <c r="B43" s="428"/>
      <c r="C43" s="430" t="s">
        <v>8</v>
      </c>
      <c r="D43" s="431"/>
      <c r="E43" s="331" t="s">
        <v>6</v>
      </c>
      <c r="F43" s="19"/>
      <c r="G43" s="19"/>
      <c r="H43" s="332"/>
      <c r="I43" s="19"/>
      <c r="J43" s="19"/>
      <c r="K43" s="18"/>
      <c r="L43" s="18"/>
      <c r="M43" s="18"/>
      <c r="N43" s="428"/>
      <c r="O43" s="430" t="s">
        <v>8</v>
      </c>
      <c r="P43" s="431"/>
      <c r="Q43" s="435" t="s">
        <v>6</v>
      </c>
      <c r="R43" s="436"/>
      <c r="S43" s="436"/>
      <c r="T43" s="437"/>
      <c r="U43" s="19"/>
      <c r="V43" s="20"/>
      <c r="W43" s="18"/>
      <c r="X43" s="3"/>
      <c r="Y43" s="432"/>
      <c r="Z43" s="433"/>
      <c r="AA43" s="426" t="s">
        <v>7</v>
      </c>
      <c r="AB43" s="427" t="s">
        <v>7</v>
      </c>
      <c r="AC43" s="385" t="s">
        <v>26</v>
      </c>
      <c r="AD43" s="386"/>
      <c r="AE43" s="448">
        <v>0.25</v>
      </c>
      <c r="AF43" s="399"/>
      <c r="AG43" s="397">
        <v>0.25</v>
      </c>
      <c r="AH43" s="399">
        <v>7</v>
      </c>
      <c r="AI43" s="397">
        <v>0.25</v>
      </c>
      <c r="AJ43" s="399">
        <v>9</v>
      </c>
      <c r="AK43" s="397">
        <v>0.25</v>
      </c>
      <c r="AL43" s="398"/>
      <c r="AM43" s="326"/>
      <c r="AN43" s="326"/>
      <c r="AO43" s="23"/>
      <c r="AP43" s="24"/>
      <c r="AQ43" s="24"/>
      <c r="AR43" s="24"/>
      <c r="AS43" s="24"/>
      <c r="AT43" s="24"/>
      <c r="AU43" s="24"/>
      <c r="AV43" s="25"/>
      <c r="AW43" s="326"/>
      <c r="AX43" s="326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H43" s="18"/>
      <c r="DI43" s="18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N43" s="18"/>
      <c r="MO43" s="18"/>
    </row>
    <row r="44" spans="2:359" ht="13.5" thickBot="1" x14ac:dyDescent="0.25">
      <c r="B44" s="429"/>
      <c r="C44" s="432"/>
      <c r="D44" s="433"/>
      <c r="E44" s="333" t="s">
        <v>7</v>
      </c>
      <c r="F44" s="21"/>
      <c r="G44" s="426" t="s">
        <v>26</v>
      </c>
      <c r="H44" s="427"/>
      <c r="I44" s="21"/>
      <c r="J44" s="21"/>
      <c r="K44" s="18"/>
      <c r="L44" s="18"/>
      <c r="M44" s="18"/>
      <c r="N44" s="429"/>
      <c r="O44" s="432"/>
      <c r="P44" s="433"/>
      <c r="Q44" s="426" t="s">
        <v>7</v>
      </c>
      <c r="R44" s="427"/>
      <c r="S44" s="426" t="s">
        <v>26</v>
      </c>
      <c r="T44" s="427"/>
      <c r="U44" s="21"/>
      <c r="V44" s="22"/>
      <c r="W44" s="18"/>
      <c r="X44" s="26" t="s">
        <v>12</v>
      </c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367">
        <v>0.25</v>
      </c>
      <c r="AJ44" s="368"/>
      <c r="AK44" s="381" t="e">
        <f>AVERAGE(Y45:Z49)</f>
        <v>#DIV/0!</v>
      </c>
      <c r="AL44" s="382"/>
      <c r="AM44" s="259"/>
      <c r="AN44" s="259"/>
      <c r="AO44" s="379" t="e">
        <f>SUM(Y45:Z49)</f>
        <v>#DIV/0!</v>
      </c>
      <c r="AP44" s="380"/>
      <c r="AQ44" s="375" t="e">
        <f>AO44*4</f>
        <v>#DIV/0!</v>
      </c>
      <c r="AR44" s="376"/>
      <c r="AS44" s="377"/>
      <c r="AT44" s="375" t="e">
        <f>AQ44*AI44</f>
        <v>#DIV/0!</v>
      </c>
      <c r="AU44" s="376"/>
      <c r="AV44" s="400"/>
      <c r="AW44" s="259"/>
      <c r="AX44" s="259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H44" s="18"/>
      <c r="DI44" s="18"/>
      <c r="EW44" s="337"/>
      <c r="EX44" s="337"/>
      <c r="EY44" s="337"/>
      <c r="EZ44" s="337"/>
      <c r="FA44" s="337"/>
      <c r="FB44" s="337"/>
      <c r="FC44" s="337"/>
      <c r="FD44" s="337"/>
      <c r="FE44" s="337"/>
      <c r="FF44" s="337"/>
      <c r="FG44" s="337"/>
      <c r="FH44" s="337"/>
      <c r="FI44" s="337"/>
      <c r="FJ44" s="337"/>
      <c r="FK44" s="337"/>
      <c r="FL44" s="337"/>
      <c r="FM44" s="337"/>
      <c r="FN44" s="337"/>
      <c r="FO44" s="337"/>
      <c r="FP44" s="337"/>
      <c r="FQ44" s="337"/>
      <c r="FR44" s="337"/>
      <c r="FS44" s="337"/>
      <c r="FT44" s="337"/>
      <c r="FU44" s="337"/>
      <c r="FV44" s="337"/>
      <c r="FW44" s="337"/>
      <c r="FX44" s="337"/>
      <c r="FY44" s="337"/>
      <c r="FZ44" s="337"/>
      <c r="GA44" s="337"/>
      <c r="GB44" s="337"/>
      <c r="GC44" s="337"/>
      <c r="GD44" s="337"/>
      <c r="GE44" s="337"/>
      <c r="GF44" s="337"/>
      <c r="GG44" s="337"/>
      <c r="GH44" s="337"/>
      <c r="GI44" s="337"/>
      <c r="GJ44" s="337"/>
      <c r="GK44" s="337"/>
      <c r="GL44" s="337"/>
      <c r="GM44" s="337"/>
      <c r="GN44" s="337"/>
      <c r="GO44" s="337"/>
      <c r="GP44" s="337"/>
      <c r="GQ44" s="337"/>
      <c r="GR44" s="337"/>
      <c r="GS44" s="337"/>
      <c r="GT44" s="337"/>
      <c r="GU44" s="337"/>
      <c r="GV44" s="337"/>
      <c r="GW44" s="337"/>
      <c r="GX44" s="337"/>
      <c r="GY44" s="337"/>
      <c r="GZ44" s="337"/>
      <c r="HA44" s="337"/>
      <c r="HB44" s="337"/>
      <c r="HC44" s="337"/>
      <c r="HD44" s="337"/>
      <c r="HE44" s="337"/>
      <c r="HF44" s="337"/>
      <c r="HG44" s="337"/>
      <c r="HH44" s="337"/>
      <c r="HI44" s="337"/>
      <c r="HJ44" s="337"/>
      <c r="HK44" s="337"/>
      <c r="HL44" s="337"/>
      <c r="HM44" s="337"/>
      <c r="HN44" s="337"/>
      <c r="HO44" s="337"/>
      <c r="HP44" s="337"/>
      <c r="HQ44" s="337"/>
      <c r="HR44" s="337"/>
      <c r="HS44" s="337"/>
      <c r="HT44" s="337"/>
      <c r="HU44" s="337"/>
      <c r="HV44" s="337"/>
      <c r="HW44" s="337"/>
      <c r="HX44" s="337"/>
      <c r="HY44" s="337"/>
      <c r="HZ44" s="337"/>
      <c r="IA44" s="337"/>
      <c r="IB44" s="337"/>
      <c r="IC44" s="337"/>
      <c r="ID44" s="337"/>
      <c r="IE44" s="337"/>
      <c r="IF44" s="337"/>
      <c r="IG44" s="337"/>
      <c r="IH44" s="337"/>
      <c r="II44" s="337"/>
      <c r="IJ44" s="337"/>
      <c r="IK44" s="337"/>
      <c r="IL44" s="337"/>
      <c r="IM44" s="337"/>
      <c r="IN44" s="337"/>
      <c r="IO44" s="337"/>
      <c r="IP44" s="337"/>
      <c r="IQ44" s="337"/>
      <c r="IR44" s="337"/>
      <c r="IS44" s="337"/>
      <c r="IT44" s="337"/>
      <c r="IU44" s="337"/>
      <c r="IV44" s="337"/>
      <c r="IW44" s="337"/>
      <c r="IX44" s="337"/>
      <c r="IY44" s="337"/>
      <c r="IZ44" s="337"/>
      <c r="JA44" s="337"/>
      <c r="JB44" s="337"/>
      <c r="JC44" s="337"/>
      <c r="JD44" s="337"/>
      <c r="JE44" s="337"/>
      <c r="JF44" s="337"/>
      <c r="JG44" s="337"/>
      <c r="JH44" s="337"/>
      <c r="JI44" s="337"/>
      <c r="JJ44" s="337"/>
      <c r="JK44" s="337"/>
      <c r="JL44" s="337"/>
      <c r="JM44" s="337"/>
      <c r="JN44" s="337"/>
      <c r="JO44" s="337"/>
      <c r="JP44" s="337"/>
      <c r="JQ44" s="337"/>
      <c r="JR44" s="337"/>
      <c r="JS44" s="337"/>
      <c r="JT44" s="337"/>
      <c r="JU44" s="337"/>
      <c r="JV44" s="337"/>
      <c r="JW44" s="337"/>
      <c r="JX44" s="337"/>
      <c r="JY44" s="337"/>
      <c r="JZ44" s="337"/>
      <c r="KA44" s="337"/>
      <c r="KB44" s="337"/>
      <c r="KC44" s="337"/>
      <c r="KD44" s="337"/>
      <c r="KE44" s="337"/>
      <c r="KF44" s="337"/>
      <c r="KG44" s="337"/>
      <c r="KH44" s="337"/>
      <c r="KI44" s="337"/>
      <c r="KJ44" s="337"/>
      <c r="KK44" s="337"/>
      <c r="KL44" s="337"/>
      <c r="KM44" s="337"/>
      <c r="KN44" s="337"/>
      <c r="KO44" s="337"/>
      <c r="KP44" s="337"/>
      <c r="KQ44" s="337"/>
      <c r="KR44" s="337"/>
      <c r="KS44" s="337"/>
      <c r="KT44" s="337"/>
      <c r="KU44" s="337"/>
      <c r="KV44" s="337"/>
      <c r="KW44" s="337"/>
      <c r="KX44" s="337"/>
      <c r="KY44" s="337"/>
      <c r="KZ44" s="337"/>
      <c r="LA44" s="337"/>
      <c r="LB44" s="337"/>
      <c r="LC44" s="337"/>
      <c r="LD44" s="337"/>
      <c r="LE44" s="337"/>
      <c r="LF44" s="337"/>
      <c r="LG44" s="337"/>
      <c r="LH44" s="337"/>
      <c r="LI44" s="337"/>
      <c r="LJ44" s="337"/>
      <c r="LK44" s="337"/>
      <c r="LL44" s="337"/>
      <c r="LM44" s="337"/>
      <c r="LN44" s="337"/>
      <c r="LO44" s="337"/>
      <c r="LP44" s="337"/>
      <c r="LQ44" s="337"/>
      <c r="LR44" s="337"/>
      <c r="LS44" s="337"/>
      <c r="LT44" s="337"/>
      <c r="LU44" s="337"/>
      <c r="LV44" s="337"/>
      <c r="LW44" s="337"/>
      <c r="LX44" s="337"/>
      <c r="LY44" s="337"/>
      <c r="LZ44" s="337"/>
      <c r="MN44" s="41"/>
      <c r="MO44" s="14"/>
    </row>
    <row r="45" spans="2:359" ht="13.5" thickBot="1" x14ac:dyDescent="0.25">
      <c r="B45" s="26" t="s">
        <v>12</v>
      </c>
      <c r="C45" s="259"/>
      <c r="D45" s="259"/>
      <c r="E45" s="27"/>
      <c r="F45" s="27"/>
      <c r="G45" s="357">
        <f>AI44</f>
        <v>0.25</v>
      </c>
      <c r="H45" s="358"/>
      <c r="I45" s="364">
        <f>SUM(C46:C50)</f>
        <v>0</v>
      </c>
      <c r="J45" s="445"/>
      <c r="N45" s="26" t="s">
        <v>12</v>
      </c>
      <c r="O45" s="27"/>
      <c r="P45" s="27"/>
      <c r="Q45" s="27"/>
      <c r="R45" s="27"/>
      <c r="S45" s="357">
        <f>AI44</f>
        <v>0.25</v>
      </c>
      <c r="T45" s="358"/>
      <c r="U45" s="364">
        <f>SUM(O46:O50)</f>
        <v>0</v>
      </c>
      <c r="V45" s="365"/>
      <c r="X45" s="8">
        <v>1</v>
      </c>
      <c r="Y45" s="359" t="e">
        <f>AE45*$AE$43+AG45*$AG$43+AI45*$AI$43+AK45*$AK$43</f>
        <v>#DIV/0!</v>
      </c>
      <c r="Z45" s="360"/>
      <c r="AA45" s="354" t="e">
        <f>RANK(Y45,$Y$45:$Z$49)</f>
        <v>#DIV/0!</v>
      </c>
      <c r="AB45" s="355"/>
      <c r="AC45" s="354" t="e">
        <f>RANK(Y45,$Y$45:$Z$67)</f>
        <v>#DIV/0!</v>
      </c>
      <c r="AD45" s="356"/>
      <c r="AE45" s="361" t="e">
        <f>C12</f>
        <v>#DIV/0!</v>
      </c>
      <c r="AF45" s="360"/>
      <c r="AG45" s="359" t="e">
        <f>MD12</f>
        <v>#DIV/0!</v>
      </c>
      <c r="AH45" s="360"/>
      <c r="AI45" s="359">
        <f>C46</f>
        <v>0</v>
      </c>
      <c r="AJ45" s="360"/>
      <c r="AK45" s="359">
        <f>O46</f>
        <v>0</v>
      </c>
      <c r="AL45" s="366"/>
      <c r="AM45" s="11"/>
      <c r="AN45" s="11"/>
      <c r="AO45" s="30"/>
      <c r="AP45" s="31"/>
      <c r="AQ45" s="29"/>
      <c r="AR45" s="32"/>
      <c r="AS45" s="33"/>
      <c r="AT45" s="31"/>
      <c r="AU45" s="31"/>
      <c r="AV45" s="34"/>
      <c r="AW45" s="11"/>
      <c r="AX45" s="11"/>
      <c r="DH45" s="41"/>
      <c r="DI45" s="41"/>
    </row>
    <row r="46" spans="2:359" x14ac:dyDescent="0.2">
      <c r="B46" s="28">
        <v>1</v>
      </c>
      <c r="C46" s="261"/>
      <c r="D46" s="269"/>
      <c r="E46" s="334" t="e">
        <f>RANK(C46,$C$46:$D$50)</f>
        <v>#N/A</v>
      </c>
      <c r="F46" s="334"/>
      <c r="G46" s="362" t="e">
        <f>RANK(C46,$C$46:$D$68)</f>
        <v>#N/A</v>
      </c>
      <c r="H46" s="363"/>
      <c r="I46" s="31"/>
      <c r="J46" s="31"/>
      <c r="N46" s="28">
        <v>1</v>
      </c>
      <c r="O46" s="261"/>
      <c r="P46" s="269"/>
      <c r="Q46" s="362" t="e">
        <f>RANK(O46,$O$46:$P$50)</f>
        <v>#N/A</v>
      </c>
      <c r="R46" s="363"/>
      <c r="S46" s="362" t="e">
        <f>RANK(O46,$O$46:$P$68)</f>
        <v>#N/A</v>
      </c>
      <c r="T46" s="363"/>
      <c r="U46" s="31"/>
      <c r="V46" s="34"/>
      <c r="X46" s="8">
        <v>2</v>
      </c>
      <c r="Y46" s="359" t="e">
        <f>AE46*$AE$43+AG46*$AG$43+AI46*$AI$43+AK46*$AK$43</f>
        <v>#DIV/0!</v>
      </c>
      <c r="Z46" s="360"/>
      <c r="AA46" s="354" t="e">
        <f>RANK(Y46,$Y$45:$Z$49)</f>
        <v>#DIV/0!</v>
      </c>
      <c r="AB46" s="355"/>
      <c r="AC46" s="354" t="e">
        <f>RANK(Y46,$Y$45:$Z$67)</f>
        <v>#DIV/0!</v>
      </c>
      <c r="AD46" s="356"/>
      <c r="AE46" s="361" t="e">
        <f>C13</f>
        <v>#DIV/0!</v>
      </c>
      <c r="AF46" s="360"/>
      <c r="AG46" s="359" t="e">
        <f>MD13</f>
        <v>#DIV/0!</v>
      </c>
      <c r="AH46" s="360"/>
      <c r="AI46" s="359">
        <f>C47</f>
        <v>0</v>
      </c>
      <c r="AJ46" s="360"/>
      <c r="AK46" s="359">
        <f>O47</f>
        <v>0</v>
      </c>
      <c r="AL46" s="366"/>
      <c r="AM46" s="11"/>
      <c r="AN46" s="11"/>
      <c r="AO46" s="28"/>
      <c r="AP46" s="32"/>
      <c r="AQ46" s="29"/>
      <c r="AR46" s="32"/>
      <c r="AS46" s="33"/>
      <c r="AT46" s="31"/>
      <c r="AU46" s="31"/>
      <c r="AV46" s="34"/>
      <c r="AW46" s="11"/>
      <c r="AX46" s="11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</row>
    <row r="47" spans="2:359" x14ac:dyDescent="0.2">
      <c r="B47" s="28">
        <v>2</v>
      </c>
      <c r="C47" s="262"/>
      <c r="D47" s="270"/>
      <c r="E47" s="31" t="e">
        <f>RANK(C47,$C$46:$D$50)</f>
        <v>#N/A</v>
      </c>
      <c r="F47" s="31"/>
      <c r="G47" s="354" t="e">
        <f>RANK(C47,$C$46:$D$68)</f>
        <v>#N/A</v>
      </c>
      <c r="H47" s="355"/>
      <c r="I47" s="31"/>
      <c r="J47" s="31"/>
      <c r="N47" s="28">
        <v>2</v>
      </c>
      <c r="O47" s="262"/>
      <c r="P47" s="270"/>
      <c r="Q47" s="354" t="e">
        <f>RANK(O47,$O$46:$P$50)</f>
        <v>#N/A</v>
      </c>
      <c r="R47" s="355"/>
      <c r="S47" s="354" t="e">
        <f>RANK(O47,$O$46:$P$68)</f>
        <v>#N/A</v>
      </c>
      <c r="T47" s="355"/>
      <c r="U47" s="31"/>
      <c r="V47" s="34"/>
      <c r="X47" s="8">
        <v>3</v>
      </c>
      <c r="Y47" s="359" t="e">
        <f>AE47*$AE$43+AG47*$AG$43+AI47*$AI$43+AK47*$AK$43</f>
        <v>#DIV/0!</v>
      </c>
      <c r="Z47" s="360"/>
      <c r="AA47" s="354" t="e">
        <f>RANK(Y47,$Y$45:$Z$49)</f>
        <v>#DIV/0!</v>
      </c>
      <c r="AB47" s="355"/>
      <c r="AC47" s="354" t="e">
        <f>RANK(Y47,$Y$45:$Z$67)</f>
        <v>#DIV/0!</v>
      </c>
      <c r="AD47" s="356"/>
      <c r="AE47" s="361" t="e">
        <f>C14</f>
        <v>#DIV/0!</v>
      </c>
      <c r="AF47" s="360"/>
      <c r="AG47" s="359" t="e">
        <f>MD14</f>
        <v>#DIV/0!</v>
      </c>
      <c r="AH47" s="360"/>
      <c r="AI47" s="359">
        <f>C48</f>
        <v>0</v>
      </c>
      <c r="AJ47" s="360"/>
      <c r="AK47" s="359">
        <f>O48</f>
        <v>0</v>
      </c>
      <c r="AL47" s="366"/>
      <c r="AM47" s="11"/>
      <c r="AN47" s="11"/>
      <c r="AO47" s="28"/>
      <c r="AP47" s="32"/>
      <c r="AQ47" s="29"/>
      <c r="AR47" s="32"/>
      <c r="AS47" s="33"/>
      <c r="AT47" s="31"/>
      <c r="AU47" s="31"/>
      <c r="AV47" s="34"/>
      <c r="AW47" s="11"/>
      <c r="AX47" s="11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4"/>
      <c r="JS47" s="14"/>
      <c r="JT47" s="14"/>
      <c r="JU47" s="14"/>
      <c r="JV47" s="14"/>
      <c r="JW47" s="14"/>
      <c r="JX47" s="14"/>
      <c r="JY47" s="14"/>
      <c r="JZ47" s="14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</row>
    <row r="48" spans="2:359" x14ac:dyDescent="0.2">
      <c r="B48" s="28">
        <v>3</v>
      </c>
      <c r="C48" s="262"/>
      <c r="D48" s="270"/>
      <c r="E48" s="31" t="e">
        <f>RANK(C48,$C$46:$D$50)</f>
        <v>#N/A</v>
      </c>
      <c r="F48" s="31"/>
      <c r="G48" s="354" t="e">
        <f>RANK(C48,$C$46:$D$68)</f>
        <v>#N/A</v>
      </c>
      <c r="H48" s="355"/>
      <c r="I48" s="31"/>
      <c r="J48" s="31"/>
      <c r="N48" s="28">
        <v>3</v>
      </c>
      <c r="O48" s="262"/>
      <c r="P48" s="270"/>
      <c r="Q48" s="354" t="e">
        <f>RANK(O48,$O$46:$P$50)</f>
        <v>#N/A</v>
      </c>
      <c r="R48" s="355"/>
      <c r="S48" s="354" t="e">
        <f>RANK(O48,$O$46:$P$68)</f>
        <v>#N/A</v>
      </c>
      <c r="T48" s="355"/>
      <c r="U48" s="31"/>
      <c r="V48" s="34"/>
      <c r="X48" s="8">
        <v>4</v>
      </c>
      <c r="Y48" s="359" t="e">
        <f>AE48*$AE$43+AG48*$AG$43+AI48*$AI$43+AK48*$AK$43</f>
        <v>#DIV/0!</v>
      </c>
      <c r="Z48" s="360"/>
      <c r="AA48" s="354" t="e">
        <f>RANK(Y48,$Y$45:$Z$49)</f>
        <v>#DIV/0!</v>
      </c>
      <c r="AB48" s="355"/>
      <c r="AC48" s="354" t="e">
        <f>RANK(Y48,$Y$45:$Z$67)</f>
        <v>#DIV/0!</v>
      </c>
      <c r="AD48" s="356"/>
      <c r="AE48" s="361" t="e">
        <f>C15</f>
        <v>#DIV/0!</v>
      </c>
      <c r="AF48" s="360"/>
      <c r="AG48" s="359" t="e">
        <f>MD15</f>
        <v>#DIV/0!</v>
      </c>
      <c r="AH48" s="360"/>
      <c r="AI48" s="359">
        <f>C49</f>
        <v>0</v>
      </c>
      <c r="AJ48" s="360"/>
      <c r="AK48" s="359">
        <f>O49</f>
        <v>0</v>
      </c>
      <c r="AL48" s="366"/>
      <c r="AM48" s="11"/>
      <c r="AN48" s="11"/>
      <c r="AO48" s="28"/>
      <c r="AP48" s="32"/>
      <c r="AQ48" s="29"/>
      <c r="AR48" s="32"/>
      <c r="AS48" s="33"/>
      <c r="AT48" s="31"/>
      <c r="AU48" s="31"/>
      <c r="AV48" s="34"/>
      <c r="AW48" s="11"/>
      <c r="AX48" s="11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  <c r="JT48" s="14"/>
      <c r="JU48" s="14"/>
      <c r="JV48" s="14"/>
      <c r="JW48" s="14"/>
      <c r="JX48" s="14"/>
      <c r="JY48" s="14"/>
      <c r="JZ48" s="14"/>
      <c r="KA48" s="14"/>
      <c r="KB48" s="14"/>
      <c r="KC48" s="14"/>
      <c r="KD48" s="14"/>
      <c r="KE48" s="14"/>
      <c r="KF48" s="14"/>
      <c r="KG48" s="14"/>
      <c r="KH48" s="14"/>
      <c r="KI48" s="14"/>
      <c r="KJ48" s="14"/>
      <c r="KK48" s="14"/>
      <c r="KL48" s="14"/>
      <c r="KM48" s="14"/>
      <c r="KN48" s="14"/>
      <c r="KO48" s="14"/>
      <c r="KP48" s="14"/>
      <c r="KQ48" s="14"/>
      <c r="KR48" s="14"/>
      <c r="KS48" s="14"/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4"/>
      <c r="LK48" s="14"/>
      <c r="LL48" s="14"/>
      <c r="LM48" s="14"/>
      <c r="LN48" s="14"/>
      <c r="LO48" s="14"/>
      <c r="LP48" s="14"/>
      <c r="LQ48" s="14"/>
      <c r="LR48" s="14"/>
      <c r="LS48" s="14"/>
      <c r="LT48" s="14"/>
      <c r="LU48" s="14"/>
      <c r="LV48" s="14"/>
      <c r="LW48" s="14"/>
      <c r="LX48" s="14"/>
      <c r="LY48" s="14"/>
      <c r="LZ48" s="14"/>
    </row>
    <row r="49" spans="2:338" ht="13.5" thickBot="1" x14ac:dyDescent="0.25">
      <c r="B49" s="28">
        <v>4</v>
      </c>
      <c r="C49" s="262"/>
      <c r="D49" s="270"/>
      <c r="E49" s="31" t="e">
        <f>RANK(C49,$C$46:$D$50)</f>
        <v>#N/A</v>
      </c>
      <c r="F49" s="31"/>
      <c r="G49" s="354" t="e">
        <f>RANK(C49,$C$46:$D$68)</f>
        <v>#N/A</v>
      </c>
      <c r="H49" s="355"/>
      <c r="I49" s="31"/>
      <c r="J49" s="31"/>
      <c r="N49" s="28">
        <v>4</v>
      </c>
      <c r="O49" s="262"/>
      <c r="P49" s="270"/>
      <c r="Q49" s="354" t="e">
        <f>RANK(O49,$O$46:$P$50)</f>
        <v>#N/A</v>
      </c>
      <c r="R49" s="355"/>
      <c r="S49" s="354" t="e">
        <f>RANK(O49,$O$46:$P$68)</f>
        <v>#N/A</v>
      </c>
      <c r="T49" s="355"/>
      <c r="U49" s="31"/>
      <c r="V49" s="34"/>
      <c r="X49" s="8">
        <v>5</v>
      </c>
      <c r="Y49" s="359" t="e">
        <f>AE49*$AE$43+AG49*$AG$43+AI49*$AI$43+AK49*$AK$43</f>
        <v>#DIV/0!</v>
      </c>
      <c r="Z49" s="360"/>
      <c r="AA49" s="354" t="e">
        <f>RANK(Y49,$Y$45:$Z$49)</f>
        <v>#DIV/0!</v>
      </c>
      <c r="AB49" s="355"/>
      <c r="AC49" s="354" t="e">
        <f>RANK(Y49,$Y$45:$Z$67)</f>
        <v>#DIV/0!</v>
      </c>
      <c r="AD49" s="356"/>
      <c r="AE49" s="361" t="e">
        <f>C16</f>
        <v>#DIV/0!</v>
      </c>
      <c r="AF49" s="360"/>
      <c r="AG49" s="359" t="e">
        <f>MD16</f>
        <v>#DIV/0!</v>
      </c>
      <c r="AH49" s="360"/>
      <c r="AI49" s="359">
        <f>C50</f>
        <v>0</v>
      </c>
      <c r="AJ49" s="360"/>
      <c r="AK49" s="359">
        <f>O50</f>
        <v>0</v>
      </c>
      <c r="AL49" s="366"/>
      <c r="AM49" s="11"/>
      <c r="AN49" s="11"/>
      <c r="AO49" s="28"/>
      <c r="AP49" s="32"/>
      <c r="AQ49" s="29"/>
      <c r="AR49" s="32"/>
      <c r="AS49" s="33"/>
      <c r="AT49" s="31"/>
      <c r="AU49" s="31"/>
      <c r="AV49" s="34"/>
      <c r="AW49" s="11"/>
      <c r="AX49" s="11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  <c r="HV49" s="14"/>
      <c r="HW49" s="14"/>
      <c r="HX49" s="14"/>
      <c r="HY49" s="14"/>
      <c r="HZ49" s="14"/>
      <c r="IA49" s="14"/>
      <c r="IB49" s="14"/>
      <c r="IC49" s="14"/>
      <c r="ID49" s="14"/>
      <c r="IE49" s="14"/>
      <c r="IF49" s="14"/>
      <c r="IG49" s="14"/>
      <c r="IH49" s="14"/>
      <c r="II49" s="14"/>
      <c r="IJ49" s="14"/>
      <c r="IK49" s="14"/>
      <c r="IL49" s="14"/>
      <c r="IM49" s="14"/>
      <c r="IN49" s="14"/>
      <c r="IO49" s="14"/>
      <c r="IP49" s="14"/>
      <c r="IQ49" s="14"/>
      <c r="IR49" s="14"/>
      <c r="IS49" s="14"/>
      <c r="IT49" s="14"/>
      <c r="IU49" s="14"/>
      <c r="IV49" s="14"/>
      <c r="IW49" s="14"/>
      <c r="IX49" s="14"/>
      <c r="IY49" s="14"/>
      <c r="IZ49" s="14"/>
      <c r="JA49" s="14"/>
      <c r="JB49" s="14"/>
      <c r="JC49" s="14"/>
      <c r="JD49" s="14"/>
      <c r="JE49" s="14"/>
      <c r="JF49" s="14"/>
      <c r="JG49" s="14"/>
      <c r="JH49" s="14"/>
      <c r="JI49" s="14"/>
      <c r="JJ49" s="14"/>
      <c r="JK49" s="14"/>
      <c r="JL49" s="14"/>
      <c r="JM49" s="14"/>
      <c r="JN49" s="14"/>
      <c r="JO49" s="14"/>
      <c r="JP49" s="14"/>
      <c r="JQ49" s="14"/>
      <c r="JR49" s="14"/>
      <c r="JS49" s="14"/>
      <c r="JT49" s="14"/>
      <c r="JU49" s="14"/>
      <c r="JV49" s="14"/>
      <c r="JW49" s="14"/>
      <c r="JX49" s="14"/>
      <c r="JY49" s="14"/>
      <c r="JZ49" s="14"/>
      <c r="KA49" s="14"/>
      <c r="KB49" s="14"/>
      <c r="KC49" s="14"/>
      <c r="KD49" s="14"/>
      <c r="KE49" s="14"/>
      <c r="KF49" s="14"/>
      <c r="KG49" s="14"/>
      <c r="KH49" s="14"/>
      <c r="KI49" s="14"/>
      <c r="KJ49" s="14"/>
      <c r="KK49" s="14"/>
      <c r="KL49" s="14"/>
      <c r="KM49" s="14"/>
      <c r="KN49" s="14"/>
      <c r="KO49" s="14"/>
      <c r="KP49" s="14"/>
      <c r="KQ49" s="14"/>
      <c r="KR49" s="14"/>
      <c r="KS49" s="14"/>
      <c r="KT49" s="14"/>
      <c r="KU49" s="14"/>
      <c r="KV49" s="14"/>
      <c r="KW49" s="14"/>
      <c r="KX49" s="14"/>
      <c r="KY49" s="14"/>
      <c r="KZ49" s="14"/>
      <c r="LA49" s="14"/>
      <c r="LB49" s="14"/>
      <c r="LC49" s="14"/>
      <c r="LD49" s="14"/>
      <c r="LE49" s="14"/>
      <c r="LF49" s="14"/>
      <c r="LG49" s="14"/>
      <c r="LH49" s="14"/>
      <c r="LI49" s="14"/>
      <c r="LJ49" s="14"/>
      <c r="LK49" s="14"/>
      <c r="LL49" s="14"/>
      <c r="LM49" s="14"/>
      <c r="LN49" s="14"/>
      <c r="LO49" s="14"/>
      <c r="LP49" s="14"/>
      <c r="LQ49" s="14"/>
      <c r="LR49" s="14"/>
      <c r="LS49" s="14"/>
      <c r="LT49" s="14"/>
      <c r="LU49" s="14"/>
      <c r="LV49" s="14"/>
      <c r="LW49" s="14"/>
      <c r="LX49" s="14"/>
      <c r="LY49" s="14"/>
      <c r="LZ49" s="14"/>
    </row>
    <row r="50" spans="2:338" ht="13.5" thickBot="1" x14ac:dyDescent="0.25">
      <c r="B50" s="28">
        <v>5</v>
      </c>
      <c r="C50" s="263"/>
      <c r="D50" s="271"/>
      <c r="E50" s="31" t="e">
        <f>RANK(C50,$C$46:$D$50)</f>
        <v>#N/A</v>
      </c>
      <c r="F50" s="31"/>
      <c r="G50" s="354" t="e">
        <f>RANK(C50,$C$46:$D$68)</f>
        <v>#N/A</v>
      </c>
      <c r="H50" s="355"/>
      <c r="I50" s="31"/>
      <c r="J50" s="31"/>
      <c r="N50" s="28">
        <v>5</v>
      </c>
      <c r="O50" s="264"/>
      <c r="P50" s="272"/>
      <c r="Q50" s="354" t="e">
        <f>RANK(O50,$O$46:$P$50)</f>
        <v>#N/A</v>
      </c>
      <c r="R50" s="355"/>
      <c r="S50" s="354" t="e">
        <f>RANK(O50,$O$46:$P$68)</f>
        <v>#N/A</v>
      </c>
      <c r="T50" s="355"/>
      <c r="U50" s="31"/>
      <c r="V50" s="34"/>
      <c r="X50" s="26" t="s">
        <v>13</v>
      </c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367">
        <v>0.25</v>
      </c>
      <c r="AJ50" s="368"/>
      <c r="AK50" s="381" t="e">
        <f>AVERAGE(Y51:Z55)</f>
        <v>#DIV/0!</v>
      </c>
      <c r="AL50" s="382"/>
      <c r="AM50" s="259"/>
      <c r="AN50" s="259"/>
      <c r="AO50" s="379" t="e">
        <f>SUM(Y51:Z55)</f>
        <v>#DIV/0!</v>
      </c>
      <c r="AP50" s="380"/>
      <c r="AQ50" s="375" t="e">
        <f>AO50*4</f>
        <v>#DIV/0!</v>
      </c>
      <c r="AR50" s="376"/>
      <c r="AS50" s="377"/>
      <c r="AT50" s="375" t="e">
        <f>AQ50*AI50</f>
        <v>#DIV/0!</v>
      </c>
      <c r="AU50" s="376"/>
      <c r="AV50" s="377"/>
      <c r="AW50" s="259"/>
      <c r="AX50" s="259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4"/>
      <c r="HM50" s="14"/>
      <c r="HN50" s="14"/>
      <c r="HO50" s="14"/>
      <c r="HP50" s="14"/>
      <c r="HQ50" s="14"/>
      <c r="HR50" s="14"/>
      <c r="HS50" s="14"/>
      <c r="HT50" s="14"/>
      <c r="HU50" s="14"/>
      <c r="HV50" s="14"/>
      <c r="HW50" s="14"/>
      <c r="HX50" s="14"/>
      <c r="HY50" s="14"/>
      <c r="HZ50" s="14"/>
      <c r="IA50" s="14"/>
      <c r="IB50" s="14"/>
      <c r="IC50" s="14"/>
      <c r="ID50" s="14"/>
      <c r="IE50" s="14"/>
      <c r="IF50" s="14"/>
      <c r="IG50" s="14"/>
      <c r="IH50" s="14"/>
      <c r="II50" s="14"/>
      <c r="IJ50" s="14"/>
      <c r="IK50" s="14"/>
      <c r="IL50" s="14"/>
      <c r="IM50" s="14"/>
      <c r="IN50" s="14"/>
      <c r="IO50" s="14"/>
      <c r="IP50" s="14"/>
      <c r="IQ50" s="14"/>
      <c r="IR50" s="14"/>
      <c r="IS50" s="14"/>
      <c r="IT50" s="14"/>
      <c r="IU50" s="14"/>
      <c r="IV50" s="14"/>
      <c r="IW50" s="14"/>
      <c r="IX50" s="14"/>
      <c r="IY50" s="14"/>
      <c r="IZ50" s="14"/>
      <c r="JA50" s="14"/>
      <c r="JB50" s="14"/>
      <c r="JC50" s="14"/>
      <c r="JD50" s="14"/>
      <c r="JE50" s="14"/>
      <c r="JF50" s="14"/>
      <c r="JG50" s="14"/>
      <c r="JH50" s="14"/>
      <c r="JI50" s="14"/>
      <c r="JJ50" s="14"/>
      <c r="JK50" s="14"/>
      <c r="JL50" s="14"/>
      <c r="JM50" s="14"/>
      <c r="JN50" s="14"/>
      <c r="JO50" s="14"/>
      <c r="JP50" s="14"/>
      <c r="JQ50" s="14"/>
      <c r="JR50" s="14"/>
      <c r="JS50" s="14"/>
      <c r="JT50" s="14"/>
      <c r="JU50" s="14"/>
      <c r="JV50" s="14"/>
      <c r="JW50" s="14"/>
      <c r="JX50" s="14"/>
      <c r="JY50" s="14"/>
      <c r="JZ50" s="14"/>
      <c r="KA50" s="14"/>
      <c r="KB50" s="14"/>
      <c r="KC50" s="14"/>
      <c r="KD50" s="14"/>
      <c r="KE50" s="14"/>
      <c r="KF50" s="14"/>
      <c r="KG50" s="14"/>
      <c r="KH50" s="14"/>
      <c r="KI50" s="14"/>
      <c r="KJ50" s="14"/>
      <c r="KK50" s="14"/>
      <c r="KL50" s="14"/>
      <c r="KM50" s="14"/>
      <c r="KN50" s="14"/>
      <c r="KO50" s="14"/>
      <c r="KP50" s="14"/>
      <c r="KQ50" s="14"/>
      <c r="KR50" s="14"/>
      <c r="KS50" s="14"/>
      <c r="KT50" s="14"/>
      <c r="KU50" s="14"/>
      <c r="KV50" s="14"/>
      <c r="KW50" s="14"/>
      <c r="KX50" s="14"/>
      <c r="KY50" s="14"/>
      <c r="KZ50" s="14"/>
      <c r="LA50" s="14"/>
      <c r="LB50" s="14"/>
      <c r="LC50" s="14"/>
      <c r="LD50" s="14"/>
      <c r="LE50" s="14"/>
      <c r="LF50" s="14"/>
      <c r="LG50" s="14"/>
      <c r="LH50" s="14"/>
      <c r="LI50" s="14"/>
      <c r="LJ50" s="14"/>
      <c r="LK50" s="14"/>
      <c r="LL50" s="14"/>
      <c r="LM50" s="14"/>
      <c r="LN50" s="14"/>
      <c r="LO50" s="14"/>
      <c r="LP50" s="14"/>
      <c r="LQ50" s="14"/>
      <c r="LR50" s="14"/>
      <c r="LS50" s="14"/>
      <c r="LT50" s="14"/>
      <c r="LU50" s="14"/>
      <c r="LV50" s="14"/>
      <c r="LW50" s="14"/>
      <c r="LX50" s="14"/>
      <c r="LY50" s="14"/>
      <c r="LZ50" s="14"/>
    </row>
    <row r="51" spans="2:338" ht="13.5" thickBot="1" x14ac:dyDescent="0.25">
      <c r="B51" s="26" t="s">
        <v>13</v>
      </c>
      <c r="C51" s="260"/>
      <c r="D51" s="260"/>
      <c r="E51" s="27"/>
      <c r="F51" s="27"/>
      <c r="G51" s="357">
        <f>AI50</f>
        <v>0.25</v>
      </c>
      <c r="H51" s="358"/>
      <c r="I51" s="364">
        <f>SUM(C52:C56)</f>
        <v>0</v>
      </c>
      <c r="J51" s="445"/>
      <c r="N51" s="26" t="s">
        <v>13</v>
      </c>
      <c r="O51" s="27"/>
      <c r="P51" s="27"/>
      <c r="Q51" s="27"/>
      <c r="R51" s="27"/>
      <c r="S51" s="357">
        <f>AI50</f>
        <v>0.25</v>
      </c>
      <c r="T51" s="358"/>
      <c r="U51" s="364">
        <f>SUM(O52:O56)</f>
        <v>0</v>
      </c>
      <c r="V51" s="365"/>
      <c r="X51" s="8">
        <v>1</v>
      </c>
      <c r="Y51" s="359" t="e">
        <f>AE51*$AE$43+AG51*$AG$43+AI51*$AI$43+AK51*$AK$43</f>
        <v>#DIV/0!</v>
      </c>
      <c r="Z51" s="360"/>
      <c r="AA51" s="354" t="e">
        <f>RANK(Y51,$Y$51:$Z$55)</f>
        <v>#DIV/0!</v>
      </c>
      <c r="AB51" s="355"/>
      <c r="AC51" s="354" t="e">
        <f>RANK(Y51,$Y$45:$Z$67)</f>
        <v>#DIV/0!</v>
      </c>
      <c r="AD51" s="356"/>
      <c r="AE51" s="361" t="e">
        <f>C18</f>
        <v>#DIV/0!</v>
      </c>
      <c r="AF51" s="360"/>
      <c r="AG51" s="359" t="e">
        <f>MD18</f>
        <v>#DIV/0!</v>
      </c>
      <c r="AH51" s="360"/>
      <c r="AI51" s="359">
        <f>C52</f>
        <v>0</v>
      </c>
      <c r="AJ51" s="360"/>
      <c r="AK51" s="359">
        <f>O52</f>
        <v>0</v>
      </c>
      <c r="AL51" s="366"/>
      <c r="AM51" s="11"/>
      <c r="AN51" s="11"/>
      <c r="AO51" s="30"/>
      <c r="AP51" s="31"/>
      <c r="AQ51" s="29"/>
      <c r="AR51" s="32"/>
      <c r="AS51" s="33"/>
      <c r="AT51" s="31"/>
      <c r="AU51" s="31"/>
      <c r="AV51" s="34"/>
      <c r="AW51" s="11"/>
      <c r="AX51" s="11"/>
      <c r="DH51" s="41"/>
      <c r="DI51" s="41"/>
    </row>
    <row r="52" spans="2:338" x14ac:dyDescent="0.2">
      <c r="B52" s="28">
        <v>1</v>
      </c>
      <c r="C52" s="261"/>
      <c r="D52" s="269"/>
      <c r="E52" s="204" t="e">
        <f>RANK(C52,$C$52:$D$56)</f>
        <v>#N/A</v>
      </c>
      <c r="F52" s="334"/>
      <c r="G52" s="362" t="e">
        <f>RANK(C52,$C$46:$D$68)</f>
        <v>#N/A</v>
      </c>
      <c r="H52" s="363"/>
      <c r="I52" s="31"/>
      <c r="J52" s="31"/>
      <c r="N52" s="28">
        <v>1</v>
      </c>
      <c r="O52" s="261"/>
      <c r="P52" s="269"/>
      <c r="Q52" s="362" t="e">
        <f>RANK(O52,$O$52:$P$56)</f>
        <v>#N/A</v>
      </c>
      <c r="R52" s="363"/>
      <c r="S52" s="362" t="e">
        <f>RANK(O52,$O$46:$P$68)</f>
        <v>#N/A</v>
      </c>
      <c r="T52" s="363"/>
      <c r="U52" s="31"/>
      <c r="V52" s="34"/>
      <c r="X52" s="8">
        <v>2</v>
      </c>
      <c r="Y52" s="359" t="e">
        <f>AE52*$AE$43+AG52*$AG$43+AI52*$AI$43+AK52*$AK$43</f>
        <v>#DIV/0!</v>
      </c>
      <c r="Z52" s="360"/>
      <c r="AA52" s="354" t="e">
        <f>RANK(Y52,$Y$51:$Z$55)</f>
        <v>#DIV/0!</v>
      </c>
      <c r="AB52" s="355"/>
      <c r="AC52" s="354" t="e">
        <f>RANK(Y52,$Y$45:$Z$67)</f>
        <v>#DIV/0!</v>
      </c>
      <c r="AD52" s="356"/>
      <c r="AE52" s="361" t="e">
        <f>C19</f>
        <v>#DIV/0!</v>
      </c>
      <c r="AF52" s="360"/>
      <c r="AG52" s="359" t="e">
        <f>MD19</f>
        <v>#DIV/0!</v>
      </c>
      <c r="AH52" s="360"/>
      <c r="AI52" s="359">
        <f>C53</f>
        <v>0</v>
      </c>
      <c r="AJ52" s="360"/>
      <c r="AK52" s="359">
        <f>O53</f>
        <v>0</v>
      </c>
      <c r="AL52" s="366"/>
      <c r="AM52" s="11"/>
      <c r="AN52" s="11"/>
      <c r="AO52" s="28"/>
      <c r="AP52" s="32"/>
      <c r="AQ52" s="29"/>
      <c r="AR52" s="32"/>
      <c r="AS52" s="33"/>
      <c r="AT52" s="31"/>
      <c r="AU52" s="31"/>
      <c r="AV52" s="34"/>
      <c r="AW52" s="11"/>
      <c r="AX52" s="11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  <c r="HB52" s="14"/>
      <c r="HC52" s="14"/>
      <c r="HD52" s="14"/>
      <c r="HE52" s="14"/>
      <c r="HF52" s="14"/>
      <c r="HG52" s="14"/>
      <c r="HH52" s="14"/>
      <c r="HI52" s="14"/>
      <c r="HJ52" s="14"/>
      <c r="HK52" s="14"/>
      <c r="HL52" s="14"/>
      <c r="HM52" s="14"/>
      <c r="HN52" s="14"/>
      <c r="HO52" s="14"/>
      <c r="HP52" s="14"/>
      <c r="HQ52" s="14"/>
      <c r="HR52" s="14"/>
      <c r="HS52" s="14"/>
      <c r="HT52" s="14"/>
      <c r="HU52" s="14"/>
      <c r="HV52" s="14"/>
      <c r="HW52" s="14"/>
      <c r="HX52" s="14"/>
      <c r="HY52" s="14"/>
      <c r="HZ52" s="14"/>
      <c r="IA52" s="14"/>
      <c r="IB52" s="14"/>
      <c r="IC52" s="14"/>
      <c r="ID52" s="14"/>
      <c r="IE52" s="14"/>
      <c r="IF52" s="14"/>
      <c r="IG52" s="14"/>
      <c r="IH52" s="14"/>
      <c r="II52" s="14"/>
      <c r="IJ52" s="14"/>
      <c r="IK52" s="14"/>
      <c r="IL52" s="14"/>
      <c r="IM52" s="14"/>
      <c r="IN52" s="14"/>
      <c r="IO52" s="14"/>
      <c r="IP52" s="14"/>
      <c r="IQ52" s="14"/>
      <c r="IR52" s="14"/>
      <c r="IS52" s="14"/>
      <c r="IT52" s="14"/>
      <c r="IU52" s="14"/>
      <c r="IV52" s="14"/>
      <c r="IW52" s="14"/>
      <c r="IX52" s="14"/>
      <c r="IY52" s="14"/>
      <c r="IZ52" s="14"/>
      <c r="JA52" s="14"/>
      <c r="JB52" s="14"/>
      <c r="JC52" s="14"/>
      <c r="JD52" s="14"/>
      <c r="JE52" s="14"/>
      <c r="JF52" s="14"/>
      <c r="JG52" s="14"/>
      <c r="JH52" s="14"/>
      <c r="JI52" s="14"/>
      <c r="JJ52" s="14"/>
      <c r="JK52" s="14"/>
      <c r="JL52" s="14"/>
      <c r="JM52" s="14"/>
      <c r="JN52" s="14"/>
      <c r="JO52" s="14"/>
      <c r="JP52" s="14"/>
      <c r="JQ52" s="14"/>
      <c r="JR52" s="14"/>
      <c r="JS52" s="14"/>
      <c r="JT52" s="14"/>
      <c r="JU52" s="14"/>
      <c r="JV52" s="14"/>
      <c r="JW52" s="14"/>
      <c r="JX52" s="14"/>
      <c r="JY52" s="14"/>
      <c r="JZ52" s="14"/>
      <c r="KA52" s="14"/>
      <c r="KB52" s="14"/>
      <c r="KC52" s="14"/>
      <c r="KD52" s="14"/>
      <c r="KE52" s="14"/>
      <c r="KF52" s="14"/>
      <c r="KG52" s="14"/>
      <c r="KH52" s="14"/>
      <c r="KI52" s="14"/>
      <c r="KJ52" s="14"/>
      <c r="KK52" s="14"/>
      <c r="KL52" s="14"/>
      <c r="KM52" s="14"/>
      <c r="KN52" s="14"/>
      <c r="KO52" s="14"/>
      <c r="KP52" s="14"/>
      <c r="KQ52" s="14"/>
      <c r="KR52" s="14"/>
      <c r="KS52" s="14"/>
      <c r="KT52" s="14"/>
      <c r="KU52" s="14"/>
      <c r="KV52" s="14"/>
      <c r="KW52" s="14"/>
      <c r="KX52" s="14"/>
      <c r="KY52" s="14"/>
      <c r="KZ52" s="14"/>
      <c r="LA52" s="14"/>
      <c r="LB52" s="14"/>
      <c r="LC52" s="14"/>
      <c r="LD52" s="14"/>
      <c r="LE52" s="14"/>
      <c r="LF52" s="14"/>
      <c r="LG52" s="14"/>
      <c r="LH52" s="14"/>
      <c r="LI52" s="14"/>
      <c r="LJ52" s="14"/>
      <c r="LK52" s="14"/>
      <c r="LL52" s="14"/>
      <c r="LM52" s="14"/>
      <c r="LN52" s="14"/>
      <c r="LO52" s="14"/>
      <c r="LP52" s="14"/>
      <c r="LQ52" s="14"/>
      <c r="LR52" s="14"/>
      <c r="LS52" s="14"/>
      <c r="LT52" s="14"/>
      <c r="LU52" s="14"/>
      <c r="LV52" s="14"/>
      <c r="LW52" s="14"/>
      <c r="LX52" s="14"/>
      <c r="LY52" s="14"/>
      <c r="LZ52" s="14"/>
    </row>
    <row r="53" spans="2:338" x14ac:dyDescent="0.2">
      <c r="B53" s="28">
        <v>2</v>
      </c>
      <c r="C53" s="262"/>
      <c r="D53" s="270"/>
      <c r="E53" s="207" t="e">
        <f>RANK(C53,$C$52:$D$56)</f>
        <v>#N/A</v>
      </c>
      <c r="F53" s="31"/>
      <c r="G53" s="354" t="e">
        <f>RANK(C53,$C$46:$D$68)</f>
        <v>#N/A</v>
      </c>
      <c r="H53" s="355"/>
      <c r="I53" s="31"/>
      <c r="J53" s="31"/>
      <c r="N53" s="28">
        <v>2</v>
      </c>
      <c r="O53" s="262"/>
      <c r="P53" s="270"/>
      <c r="Q53" s="354" t="e">
        <f>RANK(O53,$O$52:$P$56)</f>
        <v>#N/A</v>
      </c>
      <c r="R53" s="355"/>
      <c r="S53" s="354" t="e">
        <f>RANK(O53,$O$46:$P$68)</f>
        <v>#N/A</v>
      </c>
      <c r="T53" s="355"/>
      <c r="U53" s="31"/>
      <c r="V53" s="34"/>
      <c r="X53" s="8">
        <v>3</v>
      </c>
      <c r="Y53" s="359" t="e">
        <f>AE53*$AE$43+AG53*$AG$43+AI53*$AI$43+AK53*$AK$43</f>
        <v>#DIV/0!</v>
      </c>
      <c r="Z53" s="360"/>
      <c r="AA53" s="354" t="e">
        <f>RANK(Y53,$Y$51:$Z$55)</f>
        <v>#DIV/0!</v>
      </c>
      <c r="AB53" s="355"/>
      <c r="AC53" s="354" t="e">
        <f>RANK(Y53,$Y$45:$Z$67)</f>
        <v>#DIV/0!</v>
      </c>
      <c r="AD53" s="356"/>
      <c r="AE53" s="361" t="e">
        <f>C20</f>
        <v>#DIV/0!</v>
      </c>
      <c r="AF53" s="360"/>
      <c r="AG53" s="359" t="e">
        <f>MD20</f>
        <v>#DIV/0!</v>
      </c>
      <c r="AH53" s="360"/>
      <c r="AI53" s="359">
        <f>C54</f>
        <v>0</v>
      </c>
      <c r="AJ53" s="360"/>
      <c r="AK53" s="359">
        <f>O54</f>
        <v>0</v>
      </c>
      <c r="AL53" s="366"/>
      <c r="AM53" s="11"/>
      <c r="AN53" s="11"/>
      <c r="AO53" s="28"/>
      <c r="AP53" s="32"/>
      <c r="AQ53" s="29"/>
      <c r="AR53" s="32"/>
      <c r="AS53" s="33"/>
      <c r="AT53" s="31"/>
      <c r="AU53" s="31"/>
      <c r="AV53" s="34"/>
      <c r="AW53" s="11"/>
      <c r="AX53" s="11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  <c r="FW53" s="14"/>
      <c r="FX53" s="14"/>
      <c r="FY53" s="14"/>
      <c r="FZ53" s="14"/>
      <c r="GA53" s="14"/>
      <c r="GB53" s="14"/>
      <c r="GC53" s="14"/>
      <c r="GD53" s="14"/>
      <c r="GE53" s="14"/>
      <c r="GF53" s="14"/>
      <c r="GG53" s="14"/>
      <c r="GH53" s="14"/>
      <c r="GI53" s="14"/>
      <c r="GJ53" s="14"/>
      <c r="GK53" s="14"/>
      <c r="GL53" s="14"/>
      <c r="GM53" s="14"/>
      <c r="GN53" s="14"/>
      <c r="GO53" s="14"/>
      <c r="GP53" s="14"/>
      <c r="GQ53" s="14"/>
      <c r="GR53" s="14"/>
      <c r="GS53" s="14"/>
      <c r="GT53" s="14"/>
      <c r="GU53" s="14"/>
      <c r="GV53" s="14"/>
      <c r="GW53" s="14"/>
      <c r="GX53" s="14"/>
      <c r="GY53" s="14"/>
      <c r="GZ53" s="14"/>
      <c r="HA53" s="14"/>
      <c r="HB53" s="14"/>
      <c r="HC53" s="14"/>
      <c r="HD53" s="14"/>
      <c r="HE53" s="14"/>
      <c r="HF53" s="14"/>
      <c r="HG53" s="14"/>
      <c r="HH53" s="14"/>
      <c r="HI53" s="14"/>
      <c r="HJ53" s="14"/>
      <c r="HK53" s="14"/>
      <c r="HL53" s="14"/>
      <c r="HM53" s="14"/>
      <c r="HN53" s="14"/>
      <c r="HO53" s="14"/>
      <c r="HP53" s="14"/>
      <c r="HQ53" s="14"/>
      <c r="HR53" s="14"/>
      <c r="HS53" s="14"/>
      <c r="HT53" s="14"/>
      <c r="HU53" s="14"/>
      <c r="HV53" s="14"/>
      <c r="HW53" s="14"/>
      <c r="HX53" s="14"/>
      <c r="HY53" s="14"/>
      <c r="HZ53" s="14"/>
      <c r="IA53" s="14"/>
      <c r="IB53" s="14"/>
      <c r="IC53" s="14"/>
      <c r="ID53" s="14"/>
      <c r="IE53" s="14"/>
      <c r="IF53" s="14"/>
      <c r="IG53" s="14"/>
      <c r="IH53" s="14"/>
      <c r="II53" s="14"/>
      <c r="IJ53" s="14"/>
      <c r="IK53" s="14"/>
      <c r="IL53" s="14"/>
      <c r="IM53" s="14"/>
      <c r="IN53" s="14"/>
      <c r="IO53" s="14"/>
      <c r="IP53" s="14"/>
      <c r="IQ53" s="14"/>
      <c r="IR53" s="14"/>
      <c r="IS53" s="14"/>
      <c r="IT53" s="14"/>
      <c r="IU53" s="14"/>
      <c r="IV53" s="14"/>
      <c r="IW53" s="14"/>
      <c r="IX53" s="14"/>
      <c r="IY53" s="14"/>
      <c r="IZ53" s="14"/>
      <c r="JA53" s="14"/>
      <c r="JB53" s="14"/>
      <c r="JC53" s="14"/>
      <c r="JD53" s="14"/>
      <c r="JE53" s="14"/>
      <c r="JF53" s="14"/>
      <c r="JG53" s="14"/>
      <c r="JH53" s="14"/>
      <c r="JI53" s="14"/>
      <c r="JJ53" s="14"/>
      <c r="JK53" s="14"/>
      <c r="JL53" s="14"/>
      <c r="JM53" s="14"/>
      <c r="JN53" s="14"/>
      <c r="JO53" s="14"/>
      <c r="JP53" s="14"/>
      <c r="JQ53" s="14"/>
      <c r="JR53" s="14"/>
      <c r="JS53" s="14"/>
      <c r="JT53" s="14"/>
      <c r="JU53" s="14"/>
      <c r="JV53" s="14"/>
      <c r="JW53" s="14"/>
      <c r="JX53" s="14"/>
      <c r="JY53" s="14"/>
      <c r="JZ53" s="14"/>
      <c r="KA53" s="14"/>
      <c r="KB53" s="14"/>
      <c r="KC53" s="14"/>
      <c r="KD53" s="14"/>
      <c r="KE53" s="14"/>
      <c r="KF53" s="14"/>
      <c r="KG53" s="14"/>
      <c r="KH53" s="14"/>
      <c r="KI53" s="14"/>
      <c r="KJ53" s="14"/>
      <c r="KK53" s="14"/>
      <c r="KL53" s="14"/>
      <c r="KM53" s="14"/>
      <c r="KN53" s="14"/>
      <c r="KO53" s="14"/>
      <c r="KP53" s="14"/>
      <c r="KQ53" s="14"/>
      <c r="KR53" s="14"/>
      <c r="KS53" s="14"/>
      <c r="KT53" s="14"/>
      <c r="KU53" s="14"/>
      <c r="KV53" s="14"/>
      <c r="KW53" s="14"/>
      <c r="KX53" s="14"/>
      <c r="KY53" s="14"/>
      <c r="KZ53" s="14"/>
      <c r="LA53" s="14"/>
      <c r="LB53" s="14"/>
      <c r="LC53" s="14"/>
      <c r="LD53" s="14"/>
      <c r="LE53" s="14"/>
      <c r="LF53" s="14"/>
      <c r="LG53" s="14"/>
      <c r="LH53" s="14"/>
      <c r="LI53" s="14"/>
      <c r="LJ53" s="14"/>
      <c r="LK53" s="14"/>
      <c r="LL53" s="14"/>
      <c r="LM53" s="14"/>
      <c r="LN53" s="14"/>
      <c r="LO53" s="14"/>
      <c r="LP53" s="14"/>
      <c r="LQ53" s="14"/>
      <c r="LR53" s="14"/>
      <c r="LS53" s="14"/>
      <c r="LT53" s="14"/>
      <c r="LU53" s="14"/>
      <c r="LV53" s="14"/>
      <c r="LW53" s="14"/>
      <c r="LX53" s="14"/>
      <c r="LY53" s="14"/>
      <c r="LZ53" s="14"/>
    </row>
    <row r="54" spans="2:338" x14ac:dyDescent="0.2">
      <c r="B54" s="28">
        <v>3</v>
      </c>
      <c r="C54" s="262"/>
      <c r="D54" s="270"/>
      <c r="E54" s="207" t="e">
        <f>RANK(C54,$C$52:$D$56)</f>
        <v>#N/A</v>
      </c>
      <c r="F54" s="31"/>
      <c r="G54" s="354" t="e">
        <f>RANK(C54,$C$46:$D$68)</f>
        <v>#N/A</v>
      </c>
      <c r="H54" s="355"/>
      <c r="I54" s="31"/>
      <c r="J54" s="31"/>
      <c r="N54" s="28">
        <v>3</v>
      </c>
      <c r="O54" s="262"/>
      <c r="P54" s="270"/>
      <c r="Q54" s="354" t="e">
        <f>RANK(O54,$O$52:$P$56)</f>
        <v>#N/A</v>
      </c>
      <c r="R54" s="355"/>
      <c r="S54" s="354" t="e">
        <f>RANK(O54,$O$46:$P$68)</f>
        <v>#N/A</v>
      </c>
      <c r="T54" s="355"/>
      <c r="U54" s="31"/>
      <c r="V54" s="34"/>
      <c r="X54" s="8">
        <v>4</v>
      </c>
      <c r="Y54" s="359" t="e">
        <f>AE54*$AE$43+AG54*$AG$43+AI54*$AI$43+AK54*$AK$43</f>
        <v>#DIV/0!</v>
      </c>
      <c r="Z54" s="360"/>
      <c r="AA54" s="354" t="e">
        <f>RANK(Y54,$Y$51:$Z$55)</f>
        <v>#DIV/0!</v>
      </c>
      <c r="AB54" s="355"/>
      <c r="AC54" s="354" t="e">
        <f>RANK(Y54,$Y$45:$Z$67)</f>
        <v>#DIV/0!</v>
      </c>
      <c r="AD54" s="356"/>
      <c r="AE54" s="361" t="e">
        <f>C21</f>
        <v>#DIV/0!</v>
      </c>
      <c r="AF54" s="360"/>
      <c r="AG54" s="359" t="e">
        <f>MD21</f>
        <v>#DIV/0!</v>
      </c>
      <c r="AH54" s="360"/>
      <c r="AI54" s="359">
        <f>C55</f>
        <v>0</v>
      </c>
      <c r="AJ54" s="360"/>
      <c r="AK54" s="359">
        <f>O55</f>
        <v>0</v>
      </c>
      <c r="AL54" s="366"/>
      <c r="AM54" s="11"/>
      <c r="AN54" s="11"/>
      <c r="AO54" s="28"/>
      <c r="AP54" s="32"/>
      <c r="AQ54" s="29"/>
      <c r="AR54" s="32"/>
      <c r="AS54" s="33"/>
      <c r="AT54" s="31"/>
      <c r="AU54" s="31"/>
      <c r="AV54" s="34"/>
      <c r="AW54" s="11"/>
      <c r="AX54" s="11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4"/>
      <c r="HM54" s="14"/>
      <c r="HN54" s="14"/>
      <c r="HO54" s="14"/>
      <c r="HP54" s="14"/>
      <c r="HQ54" s="14"/>
      <c r="HR54" s="14"/>
      <c r="HS54" s="14"/>
      <c r="HT54" s="14"/>
      <c r="HU54" s="14"/>
      <c r="HV54" s="14"/>
      <c r="HW54" s="14"/>
      <c r="HX54" s="14"/>
      <c r="HY54" s="14"/>
      <c r="HZ54" s="14"/>
      <c r="IA54" s="14"/>
      <c r="IB54" s="14"/>
      <c r="IC54" s="14"/>
      <c r="ID54" s="14"/>
      <c r="IE54" s="14"/>
      <c r="IF54" s="14"/>
      <c r="IG54" s="14"/>
      <c r="IH54" s="14"/>
      <c r="II54" s="14"/>
      <c r="IJ54" s="14"/>
      <c r="IK54" s="14"/>
      <c r="IL54" s="14"/>
      <c r="IM54" s="14"/>
      <c r="IN54" s="14"/>
      <c r="IO54" s="14"/>
      <c r="IP54" s="14"/>
      <c r="IQ54" s="14"/>
      <c r="IR54" s="14"/>
      <c r="IS54" s="14"/>
      <c r="IT54" s="14"/>
      <c r="IU54" s="14"/>
      <c r="IV54" s="14"/>
      <c r="IW54" s="14"/>
      <c r="IX54" s="14"/>
      <c r="IY54" s="14"/>
      <c r="IZ54" s="14"/>
      <c r="JA54" s="14"/>
      <c r="JB54" s="14"/>
      <c r="JC54" s="14"/>
      <c r="JD54" s="14"/>
      <c r="JE54" s="14"/>
      <c r="JF54" s="14"/>
      <c r="JG54" s="14"/>
      <c r="JH54" s="14"/>
      <c r="JI54" s="14"/>
      <c r="JJ54" s="14"/>
      <c r="JK54" s="14"/>
      <c r="JL54" s="14"/>
      <c r="JM54" s="14"/>
      <c r="JN54" s="14"/>
      <c r="JO54" s="14"/>
      <c r="JP54" s="14"/>
      <c r="JQ54" s="14"/>
      <c r="JR54" s="14"/>
      <c r="JS54" s="14"/>
      <c r="JT54" s="14"/>
      <c r="JU54" s="14"/>
      <c r="JV54" s="14"/>
      <c r="JW54" s="14"/>
      <c r="JX54" s="14"/>
      <c r="JY54" s="14"/>
      <c r="JZ54" s="14"/>
      <c r="KA54" s="14"/>
      <c r="KB54" s="14"/>
      <c r="KC54" s="14"/>
      <c r="KD54" s="14"/>
      <c r="KE54" s="14"/>
      <c r="KF54" s="14"/>
      <c r="KG54" s="14"/>
      <c r="KH54" s="14"/>
      <c r="KI54" s="14"/>
      <c r="KJ54" s="14"/>
      <c r="KK54" s="14"/>
      <c r="KL54" s="14"/>
      <c r="KM54" s="14"/>
      <c r="KN54" s="14"/>
      <c r="KO54" s="14"/>
      <c r="KP54" s="14"/>
      <c r="KQ54" s="14"/>
      <c r="KR54" s="14"/>
      <c r="KS54" s="14"/>
      <c r="KT54" s="14"/>
      <c r="KU54" s="14"/>
      <c r="KV54" s="14"/>
      <c r="KW54" s="14"/>
      <c r="KX54" s="14"/>
      <c r="KY54" s="14"/>
      <c r="KZ54" s="14"/>
      <c r="LA54" s="14"/>
      <c r="LB54" s="14"/>
      <c r="LC54" s="14"/>
      <c r="LD54" s="14"/>
      <c r="LE54" s="14"/>
      <c r="LF54" s="14"/>
      <c r="LG54" s="14"/>
      <c r="LH54" s="14"/>
      <c r="LI54" s="14"/>
      <c r="LJ54" s="14"/>
      <c r="LK54" s="14"/>
      <c r="LL54" s="14"/>
      <c r="LM54" s="14"/>
      <c r="LN54" s="14"/>
      <c r="LO54" s="14"/>
      <c r="LP54" s="14"/>
      <c r="LQ54" s="14"/>
      <c r="LR54" s="14"/>
      <c r="LS54" s="14"/>
      <c r="LT54" s="14"/>
      <c r="LU54" s="14"/>
      <c r="LV54" s="14"/>
      <c r="LW54" s="14"/>
      <c r="LX54" s="14"/>
      <c r="LY54" s="14"/>
      <c r="LZ54" s="14"/>
    </row>
    <row r="55" spans="2:338" ht="13.5" thickBot="1" x14ac:dyDescent="0.25">
      <c r="B55" s="28">
        <v>4</v>
      </c>
      <c r="C55" s="262"/>
      <c r="D55" s="270"/>
      <c r="E55" s="207" t="e">
        <f>RANK(C55,$C$52:$D$56)</f>
        <v>#N/A</v>
      </c>
      <c r="F55" s="31"/>
      <c r="G55" s="354" t="e">
        <f>RANK(C55,$C$46:$D$68)</f>
        <v>#N/A</v>
      </c>
      <c r="H55" s="355"/>
      <c r="I55" s="31"/>
      <c r="J55" s="31"/>
      <c r="N55" s="28">
        <v>4</v>
      </c>
      <c r="O55" s="262"/>
      <c r="P55" s="270"/>
      <c r="Q55" s="354" t="e">
        <f>RANK(O55,$O$52:$P$56)</f>
        <v>#N/A</v>
      </c>
      <c r="R55" s="355"/>
      <c r="S55" s="354" t="e">
        <f>RANK(O55,$O$46:$P$68)</f>
        <v>#N/A</v>
      </c>
      <c r="T55" s="355"/>
      <c r="U55" s="31"/>
      <c r="V55" s="34"/>
      <c r="X55" s="8">
        <v>5</v>
      </c>
      <c r="Y55" s="359" t="e">
        <f>AE55*$AE$43+AG55*$AG$43+AI55*$AI$43+AK55*$AK$43</f>
        <v>#DIV/0!</v>
      </c>
      <c r="Z55" s="360"/>
      <c r="AA55" s="354" t="e">
        <f>RANK(Y55,$Y$51:$Z$55)</f>
        <v>#DIV/0!</v>
      </c>
      <c r="AB55" s="355"/>
      <c r="AC55" s="354" t="e">
        <f>RANK(Y55,$Y$45:$Z$67)</f>
        <v>#DIV/0!</v>
      </c>
      <c r="AD55" s="356"/>
      <c r="AE55" s="361" t="e">
        <f>C22</f>
        <v>#DIV/0!</v>
      </c>
      <c r="AF55" s="360"/>
      <c r="AG55" s="359" t="e">
        <f>MD22</f>
        <v>#DIV/0!</v>
      </c>
      <c r="AH55" s="360"/>
      <c r="AI55" s="359">
        <f>C56</f>
        <v>0</v>
      </c>
      <c r="AJ55" s="360"/>
      <c r="AK55" s="359">
        <f>O56</f>
        <v>0</v>
      </c>
      <c r="AL55" s="378"/>
      <c r="AM55" s="11"/>
      <c r="AN55" s="11"/>
      <c r="AO55" s="28"/>
      <c r="AP55" s="32"/>
      <c r="AQ55" s="29"/>
      <c r="AR55" s="32"/>
      <c r="AS55" s="33"/>
      <c r="AT55" s="31"/>
      <c r="AU55" s="31"/>
      <c r="AV55" s="34"/>
      <c r="AW55" s="11"/>
      <c r="AX55" s="11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14"/>
      <c r="GC55" s="14"/>
      <c r="GD55" s="14"/>
      <c r="GE55" s="14"/>
      <c r="GF55" s="14"/>
      <c r="GG55" s="14"/>
      <c r="GH55" s="14"/>
      <c r="GI55" s="14"/>
      <c r="GJ55" s="14"/>
      <c r="GK55" s="14"/>
      <c r="GL55" s="14"/>
      <c r="GM55" s="14"/>
      <c r="GN55" s="14"/>
      <c r="GO55" s="14"/>
      <c r="GP55" s="14"/>
      <c r="GQ55" s="14"/>
      <c r="GR55" s="14"/>
      <c r="GS55" s="14"/>
      <c r="GT55" s="14"/>
      <c r="GU55" s="14"/>
      <c r="GV55" s="14"/>
      <c r="GW55" s="14"/>
      <c r="GX55" s="14"/>
      <c r="GY55" s="14"/>
      <c r="GZ55" s="14"/>
      <c r="HA55" s="14"/>
      <c r="HB55" s="14"/>
      <c r="HC55" s="14"/>
      <c r="HD55" s="14"/>
      <c r="HE55" s="14"/>
      <c r="HF55" s="14"/>
      <c r="HG55" s="14"/>
      <c r="HH55" s="14"/>
      <c r="HI55" s="14"/>
      <c r="HJ55" s="14"/>
      <c r="HK55" s="14"/>
      <c r="HL55" s="14"/>
      <c r="HM55" s="14"/>
      <c r="HN55" s="14"/>
      <c r="HO55" s="14"/>
      <c r="HP55" s="14"/>
      <c r="HQ55" s="14"/>
      <c r="HR55" s="14"/>
      <c r="HS55" s="14"/>
      <c r="HT55" s="14"/>
      <c r="HU55" s="14"/>
      <c r="HV55" s="14"/>
      <c r="HW55" s="14"/>
      <c r="HX55" s="14"/>
      <c r="HY55" s="14"/>
      <c r="HZ55" s="14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4"/>
      <c r="IP55" s="14"/>
      <c r="IQ55" s="14"/>
      <c r="IR55" s="14"/>
      <c r="IS55" s="14"/>
      <c r="IT55" s="14"/>
      <c r="IU55" s="14"/>
      <c r="IV55" s="14"/>
      <c r="IW55" s="14"/>
      <c r="IX55" s="14"/>
      <c r="IY55" s="14"/>
      <c r="IZ55" s="14"/>
      <c r="JA55" s="14"/>
      <c r="JB55" s="14"/>
      <c r="JC55" s="14"/>
      <c r="JD55" s="14"/>
      <c r="JE55" s="14"/>
      <c r="JF55" s="14"/>
      <c r="JG55" s="14"/>
      <c r="JH55" s="14"/>
      <c r="JI55" s="14"/>
      <c r="JJ55" s="14"/>
      <c r="JK55" s="14"/>
      <c r="JL55" s="14"/>
      <c r="JM55" s="14"/>
      <c r="JN55" s="14"/>
      <c r="JO55" s="14"/>
      <c r="JP55" s="14"/>
      <c r="JQ55" s="14"/>
      <c r="JR55" s="14"/>
      <c r="JS55" s="14"/>
      <c r="JT55" s="14"/>
      <c r="JU55" s="14"/>
      <c r="JV55" s="14"/>
      <c r="JW55" s="14"/>
      <c r="JX55" s="14"/>
      <c r="JY55" s="14"/>
      <c r="JZ55" s="14"/>
      <c r="KA55" s="14"/>
      <c r="KB55" s="14"/>
      <c r="KC55" s="14"/>
      <c r="KD55" s="14"/>
      <c r="KE55" s="14"/>
      <c r="KF55" s="14"/>
      <c r="KG55" s="14"/>
      <c r="KH55" s="14"/>
      <c r="KI55" s="14"/>
      <c r="KJ55" s="14"/>
      <c r="KK55" s="14"/>
      <c r="KL55" s="14"/>
      <c r="KM55" s="14"/>
      <c r="KN55" s="14"/>
      <c r="KO55" s="14"/>
      <c r="KP55" s="14"/>
      <c r="KQ55" s="14"/>
      <c r="KR55" s="14"/>
      <c r="KS55" s="14"/>
      <c r="KT55" s="14"/>
      <c r="KU55" s="14"/>
      <c r="KV55" s="14"/>
      <c r="KW55" s="14"/>
      <c r="KX55" s="14"/>
      <c r="KY55" s="14"/>
      <c r="KZ55" s="14"/>
      <c r="LA55" s="14"/>
      <c r="LB55" s="14"/>
      <c r="LC55" s="14"/>
      <c r="LD55" s="14"/>
      <c r="LE55" s="14"/>
      <c r="LF55" s="14"/>
      <c r="LG55" s="14"/>
      <c r="LH55" s="14"/>
      <c r="LI55" s="14"/>
      <c r="LJ55" s="14"/>
      <c r="LK55" s="14"/>
      <c r="LL55" s="14"/>
      <c r="LM55" s="14"/>
      <c r="LN55" s="14"/>
      <c r="LO55" s="14"/>
      <c r="LP55" s="14"/>
      <c r="LQ55" s="14"/>
      <c r="LR55" s="14"/>
      <c r="LS55" s="14"/>
      <c r="LT55" s="14"/>
      <c r="LU55" s="14"/>
      <c r="LV55" s="14"/>
      <c r="LW55" s="14"/>
      <c r="LX55" s="14"/>
      <c r="LY55" s="14"/>
      <c r="LZ55" s="14"/>
    </row>
    <row r="56" spans="2:338" ht="13.5" thickBot="1" x14ac:dyDescent="0.25">
      <c r="B56" s="28">
        <v>5</v>
      </c>
      <c r="C56" s="264"/>
      <c r="D56" s="272"/>
      <c r="E56" s="207" t="e">
        <f>RANK(C56,$C$52:$D$56)</f>
        <v>#N/A</v>
      </c>
      <c r="F56" s="31"/>
      <c r="G56" s="354" t="e">
        <f>RANK(C56,$C$46:$D$68)</f>
        <v>#N/A</v>
      </c>
      <c r="H56" s="355"/>
      <c r="I56" s="31"/>
      <c r="J56" s="31"/>
      <c r="N56" s="28">
        <v>5</v>
      </c>
      <c r="O56" s="264"/>
      <c r="P56" s="272"/>
      <c r="Q56" s="354" t="e">
        <f>RANK(O56,$O$52:$P$56)</f>
        <v>#N/A</v>
      </c>
      <c r="R56" s="355"/>
      <c r="S56" s="354" t="e">
        <f>RANK(O56,$O$46:$P$68)</f>
        <v>#N/A</v>
      </c>
      <c r="T56" s="355"/>
      <c r="U56" s="31"/>
      <c r="V56" s="34"/>
      <c r="X56" s="26" t="s">
        <v>14</v>
      </c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367">
        <v>0.25</v>
      </c>
      <c r="AJ56" s="368"/>
      <c r="AK56" s="381" t="e">
        <f>AVERAGE(Y57:Z61)</f>
        <v>#DIV/0!</v>
      </c>
      <c r="AL56" s="382"/>
      <c r="AM56" s="259"/>
      <c r="AN56" s="259"/>
      <c r="AO56" s="379" t="e">
        <f>SUM(Y57:Z61)</f>
        <v>#DIV/0!</v>
      </c>
      <c r="AP56" s="380"/>
      <c r="AQ56" s="375" t="e">
        <f>AO56*4</f>
        <v>#DIV/0!</v>
      </c>
      <c r="AR56" s="376"/>
      <c r="AS56" s="377"/>
      <c r="AT56" s="375" t="e">
        <f>AQ56*AI56</f>
        <v>#DIV/0!</v>
      </c>
      <c r="AU56" s="376"/>
      <c r="AV56" s="377"/>
      <c r="AW56" s="259"/>
      <c r="AX56" s="259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14"/>
      <c r="GG56" s="14"/>
      <c r="GH56" s="14"/>
      <c r="GI56" s="14"/>
      <c r="GJ56" s="14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14"/>
      <c r="HB56" s="14"/>
      <c r="HC56" s="14"/>
      <c r="HD56" s="14"/>
      <c r="HE56" s="14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14"/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  <c r="IP56" s="14"/>
      <c r="IQ56" s="14"/>
      <c r="IR56" s="14"/>
      <c r="IS56" s="14"/>
      <c r="IT56" s="14"/>
      <c r="IU56" s="14"/>
      <c r="IV56" s="14"/>
      <c r="IW56" s="14"/>
      <c r="IX56" s="14"/>
      <c r="IY56" s="14"/>
      <c r="IZ56" s="14"/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/>
      <c r="JM56" s="14"/>
      <c r="JN56" s="14"/>
      <c r="JO56" s="14"/>
      <c r="JP56" s="14"/>
      <c r="JQ56" s="14"/>
      <c r="JR56" s="14"/>
      <c r="JS56" s="14"/>
      <c r="JT56" s="14"/>
      <c r="JU56" s="14"/>
      <c r="JV56" s="14"/>
      <c r="JW56" s="14"/>
      <c r="JX56" s="14"/>
      <c r="JY56" s="14"/>
      <c r="JZ56" s="14"/>
      <c r="KA56" s="14"/>
      <c r="KB56" s="14"/>
      <c r="KC56" s="14"/>
      <c r="KD56" s="14"/>
      <c r="KE56" s="14"/>
      <c r="KF56" s="14"/>
      <c r="KG56" s="14"/>
      <c r="KH56" s="14"/>
      <c r="KI56" s="14"/>
      <c r="KJ56" s="14"/>
      <c r="KK56" s="14"/>
      <c r="KL56" s="14"/>
      <c r="KM56" s="14"/>
      <c r="KN56" s="14"/>
      <c r="KO56" s="14"/>
      <c r="KP56" s="14"/>
      <c r="KQ56" s="14"/>
      <c r="KR56" s="14"/>
      <c r="KS56" s="14"/>
      <c r="KT56" s="14"/>
      <c r="KU56" s="14"/>
      <c r="KV56" s="14"/>
      <c r="KW56" s="14"/>
      <c r="KX56" s="14"/>
      <c r="KY56" s="14"/>
      <c r="KZ56" s="14"/>
      <c r="LA56" s="14"/>
      <c r="LB56" s="14"/>
      <c r="LC56" s="14"/>
      <c r="LD56" s="14"/>
      <c r="LE56" s="14"/>
      <c r="LF56" s="14"/>
      <c r="LG56" s="14"/>
      <c r="LH56" s="14"/>
      <c r="LI56" s="14"/>
      <c r="LJ56" s="14"/>
      <c r="LK56" s="14"/>
      <c r="LL56" s="14"/>
      <c r="LM56" s="14"/>
      <c r="LN56" s="14"/>
      <c r="LO56" s="14"/>
      <c r="LP56" s="14"/>
      <c r="LQ56" s="14"/>
      <c r="LR56" s="14"/>
      <c r="LS56" s="14"/>
      <c r="LT56" s="14"/>
      <c r="LU56" s="14"/>
      <c r="LV56" s="14"/>
      <c r="LW56" s="14"/>
      <c r="LX56" s="14"/>
      <c r="LY56" s="14"/>
      <c r="LZ56" s="14"/>
    </row>
    <row r="57" spans="2:338" ht="13.5" thickBot="1" x14ac:dyDescent="0.25">
      <c r="B57" s="36" t="s">
        <v>14</v>
      </c>
      <c r="C57" s="37"/>
      <c r="D57" s="37"/>
      <c r="E57" s="37"/>
      <c r="F57" s="37"/>
      <c r="G57" s="357">
        <f>AI56</f>
        <v>0.25</v>
      </c>
      <c r="H57" s="358"/>
      <c r="I57" s="364">
        <f>SUM(C58:C62)</f>
        <v>0</v>
      </c>
      <c r="J57" s="445"/>
      <c r="K57" s="18"/>
      <c r="L57" s="18"/>
      <c r="M57" s="18"/>
      <c r="N57" s="36" t="s">
        <v>14</v>
      </c>
      <c r="O57" s="37"/>
      <c r="P57" s="37"/>
      <c r="Q57" s="37"/>
      <c r="R57" s="37"/>
      <c r="S57" s="357">
        <f>AI56</f>
        <v>0.25</v>
      </c>
      <c r="T57" s="358"/>
      <c r="U57" s="364">
        <f>SUM(O58:O62)</f>
        <v>0</v>
      </c>
      <c r="V57" s="365"/>
      <c r="W57" s="18"/>
      <c r="X57" s="8">
        <v>1</v>
      </c>
      <c r="Y57" s="359" t="e">
        <f>AE57*$AE$43+AG57*$AG$43+AI57*$AI$43+AK57*$AK$43</f>
        <v>#DIV/0!</v>
      </c>
      <c r="Z57" s="360"/>
      <c r="AA57" s="354" t="e">
        <f>RANK(Y57,$Y$57:$Z$61)</f>
        <v>#DIV/0!</v>
      </c>
      <c r="AB57" s="355"/>
      <c r="AC57" s="354" t="e">
        <f>RANK(Y57,$Y$45:$Z$67)</f>
        <v>#DIV/0!</v>
      </c>
      <c r="AD57" s="356"/>
      <c r="AE57" s="361" t="e">
        <f>C24</f>
        <v>#DIV/0!</v>
      </c>
      <c r="AF57" s="360"/>
      <c r="AG57" s="359" t="e">
        <f>MD24</f>
        <v>#DIV/0!</v>
      </c>
      <c r="AH57" s="360"/>
      <c r="AI57" s="359">
        <f>C58</f>
        <v>0</v>
      </c>
      <c r="AJ57" s="360"/>
      <c r="AK57" s="359">
        <f>O58</f>
        <v>0</v>
      </c>
      <c r="AL57" s="378"/>
      <c r="AM57" s="11"/>
      <c r="AN57" s="11"/>
      <c r="AO57" s="38"/>
      <c r="AP57" s="39"/>
      <c r="AQ57" s="29"/>
      <c r="AR57" s="32"/>
      <c r="AS57" s="33"/>
      <c r="AT57" s="31"/>
      <c r="AU57" s="31"/>
      <c r="AV57" s="34"/>
      <c r="AW57" s="11"/>
      <c r="AX57" s="11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H57" s="41"/>
      <c r="DI57" s="41"/>
    </row>
    <row r="58" spans="2:338" x14ac:dyDescent="0.2">
      <c r="B58" s="28">
        <v>1</v>
      </c>
      <c r="C58" s="261"/>
      <c r="D58" s="269"/>
      <c r="E58" s="204" t="e">
        <f>RANK(C58,$C$58:$D$62)</f>
        <v>#N/A</v>
      </c>
      <c r="F58" s="334"/>
      <c r="G58" s="362" t="e">
        <f>RANK(C58,$C$46:$D$68)</f>
        <v>#N/A</v>
      </c>
      <c r="H58" s="363"/>
      <c r="I58" s="31"/>
      <c r="J58" s="31"/>
      <c r="N58" s="28">
        <v>1</v>
      </c>
      <c r="O58" s="261"/>
      <c r="P58" s="269"/>
      <c r="Q58" s="362" t="e">
        <f>RANK(O58,$O$58:$P$62)</f>
        <v>#N/A</v>
      </c>
      <c r="R58" s="363"/>
      <c r="S58" s="362" t="e">
        <f>RANK(O58,$O$46:$P$68)</f>
        <v>#N/A</v>
      </c>
      <c r="T58" s="363"/>
      <c r="U58" s="31"/>
      <c r="V58" s="34"/>
      <c r="X58" s="8">
        <v>2</v>
      </c>
      <c r="Y58" s="359" t="e">
        <f>AE58*$AE$43+AG58*$AG$43+AI58*$AI$43+AK58*$AK$43</f>
        <v>#DIV/0!</v>
      </c>
      <c r="Z58" s="360"/>
      <c r="AA58" s="354" t="e">
        <f>RANK(Y58,$Y$57:$Z$61)</f>
        <v>#DIV/0!</v>
      </c>
      <c r="AB58" s="355"/>
      <c r="AC58" s="354" t="e">
        <f>RANK(Y58,$Y$45:$Z$67)</f>
        <v>#DIV/0!</v>
      </c>
      <c r="AD58" s="356"/>
      <c r="AE58" s="361" t="e">
        <f t="shared" ref="AE58:AE61" si="15">C25</f>
        <v>#DIV/0!</v>
      </c>
      <c r="AF58" s="360"/>
      <c r="AG58" s="359" t="e">
        <f>MD25</f>
        <v>#DIV/0!</v>
      </c>
      <c r="AH58" s="360"/>
      <c r="AI58" s="359">
        <f>C59</f>
        <v>0</v>
      </c>
      <c r="AJ58" s="360"/>
      <c r="AK58" s="359">
        <f>O59</f>
        <v>0</v>
      </c>
      <c r="AL58" s="378"/>
      <c r="AM58" s="11"/>
      <c r="AN58" s="11"/>
      <c r="AO58" s="28"/>
      <c r="AP58" s="32"/>
      <c r="AQ58" s="29"/>
      <c r="AR58" s="32"/>
      <c r="AS58" s="33"/>
      <c r="AT58" s="31"/>
      <c r="AU58" s="31"/>
      <c r="AV58" s="34"/>
      <c r="AW58" s="11"/>
      <c r="AX58" s="11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4"/>
      <c r="IP58" s="14"/>
      <c r="IQ58" s="14"/>
      <c r="IR58" s="14"/>
      <c r="IS58" s="14"/>
      <c r="IT58" s="14"/>
      <c r="IU58" s="14"/>
      <c r="IV58" s="14"/>
      <c r="IW58" s="14"/>
      <c r="IX58" s="14"/>
      <c r="IY58" s="14"/>
      <c r="IZ58" s="14"/>
      <c r="JA58" s="14"/>
      <c r="JB58" s="14"/>
      <c r="JC58" s="14"/>
      <c r="JD58" s="14"/>
      <c r="JE58" s="14"/>
      <c r="JF58" s="14"/>
      <c r="JG58" s="14"/>
      <c r="JH58" s="14"/>
      <c r="JI58" s="14"/>
      <c r="JJ58" s="14"/>
      <c r="JK58" s="14"/>
      <c r="JL58" s="14"/>
      <c r="JM58" s="14"/>
      <c r="JN58" s="14"/>
      <c r="JO58" s="14"/>
      <c r="JP58" s="14"/>
      <c r="JQ58" s="14"/>
      <c r="JR58" s="14"/>
      <c r="JS58" s="14"/>
      <c r="JT58" s="14"/>
      <c r="JU58" s="14"/>
      <c r="JV58" s="14"/>
      <c r="JW58" s="14"/>
      <c r="JX58" s="14"/>
      <c r="JY58" s="14"/>
      <c r="JZ58" s="14"/>
      <c r="KA58" s="14"/>
      <c r="KB58" s="14"/>
      <c r="KC58" s="14"/>
      <c r="KD58" s="14"/>
      <c r="KE58" s="14"/>
      <c r="KF58" s="14"/>
      <c r="KG58" s="14"/>
      <c r="KH58" s="14"/>
      <c r="KI58" s="14"/>
      <c r="KJ58" s="14"/>
      <c r="KK58" s="14"/>
      <c r="KL58" s="14"/>
      <c r="KM58" s="14"/>
      <c r="KN58" s="14"/>
      <c r="KO58" s="14"/>
      <c r="KP58" s="14"/>
      <c r="KQ58" s="14"/>
      <c r="KR58" s="14"/>
      <c r="KS58" s="14"/>
      <c r="KT58" s="14"/>
      <c r="KU58" s="14"/>
      <c r="KV58" s="14"/>
      <c r="KW58" s="14"/>
      <c r="KX58" s="14"/>
      <c r="KY58" s="14"/>
      <c r="KZ58" s="14"/>
      <c r="LA58" s="14"/>
      <c r="LB58" s="14"/>
      <c r="LC58" s="14"/>
      <c r="LD58" s="14"/>
      <c r="LE58" s="14"/>
      <c r="LF58" s="14"/>
      <c r="LG58" s="14"/>
      <c r="LH58" s="14"/>
      <c r="LI58" s="14"/>
      <c r="LJ58" s="14"/>
      <c r="LK58" s="14"/>
      <c r="LL58" s="14"/>
      <c r="LM58" s="14"/>
      <c r="LN58" s="14"/>
      <c r="LO58" s="14"/>
      <c r="LP58" s="14"/>
      <c r="LQ58" s="14"/>
      <c r="LR58" s="14"/>
      <c r="LS58" s="14"/>
      <c r="LT58" s="14"/>
      <c r="LU58" s="14"/>
      <c r="LV58" s="14"/>
      <c r="LW58" s="14"/>
      <c r="LX58" s="14"/>
      <c r="LY58" s="14"/>
      <c r="LZ58" s="14"/>
    </row>
    <row r="59" spans="2:338" x14ac:dyDescent="0.2">
      <c r="B59" s="28">
        <v>2</v>
      </c>
      <c r="C59" s="262"/>
      <c r="D59" s="270"/>
      <c r="E59" s="207" t="e">
        <f>RANK(C59,$C$58:$D$62)</f>
        <v>#N/A</v>
      </c>
      <c r="F59" s="31"/>
      <c r="G59" s="354" t="e">
        <f>RANK(C59,$C$46:$D$68)</f>
        <v>#N/A</v>
      </c>
      <c r="H59" s="355"/>
      <c r="I59" s="31"/>
      <c r="J59" s="31"/>
      <c r="N59" s="28">
        <v>2</v>
      </c>
      <c r="O59" s="262"/>
      <c r="P59" s="270"/>
      <c r="Q59" s="354" t="e">
        <f>RANK(O59,$O$58:$P$62)</f>
        <v>#N/A</v>
      </c>
      <c r="R59" s="355"/>
      <c r="S59" s="354" t="e">
        <f>RANK(O59,$O$46:$P$68)</f>
        <v>#N/A</v>
      </c>
      <c r="T59" s="355"/>
      <c r="U59" s="31"/>
      <c r="V59" s="34"/>
      <c r="X59" s="8">
        <v>3</v>
      </c>
      <c r="Y59" s="359" t="e">
        <f>AE59*$AE$43+AG59*$AG$43+AI59*$AI$43+AK59*$AK$43</f>
        <v>#DIV/0!</v>
      </c>
      <c r="Z59" s="360"/>
      <c r="AA59" s="354" t="e">
        <f>RANK(Y59,$Y$57:$Z$61)</f>
        <v>#DIV/0!</v>
      </c>
      <c r="AB59" s="355"/>
      <c r="AC59" s="354" t="e">
        <f>RANK(Y59,$Y$45:$Z$67)</f>
        <v>#DIV/0!</v>
      </c>
      <c r="AD59" s="356"/>
      <c r="AE59" s="361" t="e">
        <f t="shared" si="15"/>
        <v>#DIV/0!</v>
      </c>
      <c r="AF59" s="360"/>
      <c r="AG59" s="359" t="e">
        <f>MD26</f>
        <v>#DIV/0!</v>
      </c>
      <c r="AH59" s="360"/>
      <c r="AI59" s="359">
        <f>C60</f>
        <v>0</v>
      </c>
      <c r="AJ59" s="360"/>
      <c r="AK59" s="359">
        <f>O60</f>
        <v>0</v>
      </c>
      <c r="AL59" s="378"/>
      <c r="AM59" s="11"/>
      <c r="AN59" s="11"/>
      <c r="AO59" s="28"/>
      <c r="AP59" s="32"/>
      <c r="AQ59" s="29"/>
      <c r="AR59" s="32"/>
      <c r="AS59" s="33"/>
      <c r="AT59" s="31"/>
      <c r="AU59" s="31"/>
      <c r="AV59" s="34"/>
      <c r="AW59" s="11"/>
      <c r="AX59" s="11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14"/>
      <c r="GC59" s="14"/>
      <c r="GD59" s="14"/>
      <c r="GE59" s="14"/>
      <c r="GF59" s="14"/>
      <c r="GG59" s="14"/>
      <c r="GH59" s="14"/>
      <c r="GI59" s="14"/>
      <c r="GJ59" s="14"/>
      <c r="GK59" s="14"/>
      <c r="GL59" s="14"/>
      <c r="GM59" s="14"/>
      <c r="GN59" s="14"/>
      <c r="GO59" s="14"/>
      <c r="GP59" s="14"/>
      <c r="GQ59" s="14"/>
      <c r="GR59" s="14"/>
      <c r="GS59" s="14"/>
      <c r="GT59" s="14"/>
      <c r="GU59" s="14"/>
      <c r="GV59" s="14"/>
      <c r="GW59" s="14"/>
      <c r="GX59" s="14"/>
      <c r="GY59" s="14"/>
      <c r="GZ59" s="14"/>
      <c r="HA59" s="14"/>
      <c r="HB59" s="14"/>
      <c r="HC59" s="14"/>
      <c r="HD59" s="14"/>
      <c r="HE59" s="14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4"/>
      <c r="HY59" s="14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4"/>
      <c r="IP59" s="14"/>
      <c r="IQ59" s="14"/>
      <c r="IR59" s="14"/>
      <c r="IS59" s="14"/>
      <c r="IT59" s="14"/>
      <c r="IU59" s="14"/>
      <c r="IV59" s="14"/>
      <c r="IW59" s="14"/>
      <c r="IX59" s="14"/>
      <c r="IY59" s="14"/>
      <c r="IZ59" s="14"/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/>
      <c r="JM59" s="14"/>
      <c r="JN59" s="14"/>
      <c r="JO59" s="14"/>
      <c r="JP59" s="14"/>
      <c r="JQ59" s="14"/>
      <c r="JR59" s="14"/>
      <c r="JS59" s="14"/>
      <c r="JT59" s="14"/>
      <c r="JU59" s="14"/>
      <c r="JV59" s="14"/>
      <c r="JW59" s="14"/>
      <c r="JX59" s="14"/>
      <c r="JY59" s="14"/>
      <c r="JZ59" s="14"/>
      <c r="KA59" s="14"/>
      <c r="KB59" s="14"/>
      <c r="KC59" s="14"/>
      <c r="KD59" s="14"/>
      <c r="KE59" s="14"/>
      <c r="KF59" s="14"/>
      <c r="KG59" s="14"/>
      <c r="KH59" s="14"/>
      <c r="KI59" s="14"/>
      <c r="KJ59" s="14"/>
      <c r="KK59" s="14"/>
      <c r="KL59" s="14"/>
      <c r="KM59" s="14"/>
      <c r="KN59" s="14"/>
      <c r="KO59" s="14"/>
      <c r="KP59" s="14"/>
      <c r="KQ59" s="14"/>
      <c r="KR59" s="14"/>
      <c r="KS59" s="14"/>
      <c r="KT59" s="14"/>
      <c r="KU59" s="14"/>
      <c r="KV59" s="14"/>
      <c r="KW59" s="14"/>
      <c r="KX59" s="14"/>
      <c r="KY59" s="14"/>
      <c r="KZ59" s="14"/>
      <c r="LA59" s="14"/>
      <c r="LB59" s="14"/>
      <c r="LC59" s="14"/>
      <c r="LD59" s="14"/>
      <c r="LE59" s="14"/>
      <c r="LF59" s="14"/>
      <c r="LG59" s="14"/>
      <c r="LH59" s="14"/>
      <c r="LI59" s="14"/>
      <c r="LJ59" s="14"/>
      <c r="LK59" s="14"/>
      <c r="LL59" s="14"/>
      <c r="LM59" s="14"/>
      <c r="LN59" s="14"/>
      <c r="LO59" s="14"/>
      <c r="LP59" s="14"/>
      <c r="LQ59" s="14"/>
      <c r="LR59" s="14"/>
      <c r="LS59" s="14"/>
      <c r="LT59" s="14"/>
      <c r="LU59" s="14"/>
      <c r="LV59" s="14"/>
      <c r="LW59" s="14"/>
      <c r="LX59" s="14"/>
      <c r="LY59" s="14"/>
      <c r="LZ59" s="14"/>
    </row>
    <row r="60" spans="2:338" x14ac:dyDescent="0.2">
      <c r="B60" s="28">
        <v>3</v>
      </c>
      <c r="C60" s="262"/>
      <c r="D60" s="270"/>
      <c r="E60" s="207" t="e">
        <f>RANK(C60,$C$58:$D$62)</f>
        <v>#N/A</v>
      </c>
      <c r="F60" s="31"/>
      <c r="G60" s="354" t="e">
        <f>RANK(C60,$C$46:$D$68)</f>
        <v>#N/A</v>
      </c>
      <c r="H60" s="355"/>
      <c r="I60" s="31"/>
      <c r="J60" s="31"/>
      <c r="N60" s="28">
        <v>3</v>
      </c>
      <c r="O60" s="262"/>
      <c r="P60" s="270"/>
      <c r="Q60" s="354" t="e">
        <f>RANK(O60,$O$58:$P$62)</f>
        <v>#N/A</v>
      </c>
      <c r="R60" s="355"/>
      <c r="S60" s="354" t="e">
        <f>RANK(O60,$O$46:$P$68)</f>
        <v>#N/A</v>
      </c>
      <c r="T60" s="355"/>
      <c r="U60" s="31"/>
      <c r="V60" s="34"/>
      <c r="X60" s="8">
        <v>4</v>
      </c>
      <c r="Y60" s="359" t="e">
        <f>AE60*$AE$43+AG60*$AG$43+AI60*$AI$43+AK60*$AK$43</f>
        <v>#DIV/0!</v>
      </c>
      <c r="Z60" s="360"/>
      <c r="AA60" s="354" t="e">
        <f>RANK(Y60,$Y$57:$Z$61)</f>
        <v>#DIV/0!</v>
      </c>
      <c r="AB60" s="355"/>
      <c r="AC60" s="354" t="e">
        <f>RANK(Y60,$Y$45:$Z$67)</f>
        <v>#DIV/0!</v>
      </c>
      <c r="AD60" s="356"/>
      <c r="AE60" s="361" t="e">
        <f t="shared" si="15"/>
        <v>#DIV/0!</v>
      </c>
      <c r="AF60" s="360"/>
      <c r="AG60" s="359" t="e">
        <f>MD27</f>
        <v>#DIV/0!</v>
      </c>
      <c r="AH60" s="360"/>
      <c r="AI60" s="359">
        <f>C61</f>
        <v>0</v>
      </c>
      <c r="AJ60" s="360"/>
      <c r="AK60" s="359">
        <f>O61</f>
        <v>0</v>
      </c>
      <c r="AL60" s="378"/>
      <c r="AM60" s="11"/>
      <c r="AN60" s="11"/>
      <c r="AO60" s="28"/>
      <c r="AP60" s="32"/>
      <c r="AQ60" s="29"/>
      <c r="AR60" s="32"/>
      <c r="AS60" s="33"/>
      <c r="AT60" s="31"/>
      <c r="AU60" s="31"/>
      <c r="AV60" s="34"/>
      <c r="AW60" s="11"/>
      <c r="AX60" s="11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14"/>
      <c r="GC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S60" s="14"/>
      <c r="GT60" s="14"/>
      <c r="GU60" s="14"/>
      <c r="GV60" s="14"/>
      <c r="GW60" s="14"/>
      <c r="GX60" s="14"/>
      <c r="GY60" s="14"/>
      <c r="GZ60" s="14"/>
      <c r="HA60" s="14"/>
      <c r="HB60" s="14"/>
      <c r="HC60" s="14"/>
      <c r="HD60" s="14"/>
      <c r="HE60" s="14"/>
      <c r="HF60" s="14"/>
      <c r="HG60" s="14"/>
      <c r="HH60" s="14"/>
      <c r="HI60" s="14"/>
      <c r="HJ60" s="14"/>
      <c r="HK60" s="14"/>
      <c r="HL60" s="14"/>
      <c r="HM60" s="14"/>
      <c r="HN60" s="14"/>
      <c r="HO60" s="14"/>
      <c r="HP60" s="14"/>
      <c r="HQ60" s="14"/>
      <c r="HR60" s="14"/>
      <c r="HS60" s="14"/>
      <c r="HT60" s="14"/>
      <c r="HU60" s="14"/>
      <c r="HV60" s="14"/>
      <c r="HW60" s="14"/>
      <c r="HX60" s="14"/>
      <c r="HY60" s="14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4"/>
      <c r="IP60" s="14"/>
      <c r="IQ60" s="14"/>
      <c r="IR60" s="14"/>
      <c r="IS60" s="14"/>
      <c r="IT60" s="14"/>
      <c r="IU60" s="14"/>
      <c r="IV60" s="14"/>
      <c r="IW60" s="14"/>
      <c r="IX60" s="14"/>
      <c r="IY60" s="14"/>
      <c r="IZ60" s="14"/>
      <c r="JA60" s="14"/>
      <c r="JB60" s="14"/>
      <c r="JC60" s="14"/>
      <c r="JD60" s="14"/>
      <c r="JE60" s="14"/>
      <c r="JF60" s="14"/>
      <c r="JG60" s="14"/>
      <c r="JH60" s="14"/>
      <c r="JI60" s="14"/>
      <c r="JJ60" s="14"/>
      <c r="JK60" s="14"/>
      <c r="JL60" s="14"/>
      <c r="JM60" s="14"/>
      <c r="JN60" s="14"/>
      <c r="JO60" s="14"/>
      <c r="JP60" s="14"/>
      <c r="JQ60" s="14"/>
      <c r="JR60" s="14"/>
      <c r="JS60" s="14"/>
      <c r="JT60" s="14"/>
      <c r="JU60" s="14"/>
      <c r="JV60" s="14"/>
      <c r="JW60" s="14"/>
      <c r="JX60" s="14"/>
      <c r="JY60" s="14"/>
      <c r="JZ60" s="14"/>
      <c r="KA60" s="14"/>
      <c r="KB60" s="14"/>
      <c r="KC60" s="14"/>
      <c r="KD60" s="14"/>
      <c r="KE60" s="14"/>
      <c r="KF60" s="14"/>
      <c r="KG60" s="14"/>
      <c r="KH60" s="14"/>
      <c r="KI60" s="14"/>
      <c r="KJ60" s="14"/>
      <c r="KK60" s="14"/>
      <c r="KL60" s="14"/>
      <c r="KM60" s="14"/>
      <c r="KN60" s="14"/>
      <c r="KO60" s="14"/>
      <c r="KP60" s="14"/>
      <c r="KQ60" s="14"/>
      <c r="KR60" s="14"/>
      <c r="KS60" s="14"/>
      <c r="KT60" s="14"/>
      <c r="KU60" s="14"/>
      <c r="KV60" s="14"/>
      <c r="KW60" s="14"/>
      <c r="KX60" s="14"/>
      <c r="KY60" s="14"/>
      <c r="KZ60" s="14"/>
      <c r="LA60" s="14"/>
      <c r="LB60" s="14"/>
      <c r="LC60" s="14"/>
      <c r="LD60" s="14"/>
      <c r="LE60" s="14"/>
      <c r="LF60" s="14"/>
      <c r="LG60" s="14"/>
      <c r="LH60" s="14"/>
      <c r="LI60" s="14"/>
      <c r="LJ60" s="14"/>
      <c r="LK60" s="14"/>
      <c r="LL60" s="14"/>
      <c r="LM60" s="14"/>
      <c r="LN60" s="14"/>
      <c r="LO60" s="14"/>
      <c r="LP60" s="14"/>
      <c r="LQ60" s="14"/>
      <c r="LR60" s="14"/>
      <c r="LS60" s="14"/>
      <c r="LT60" s="14"/>
      <c r="LU60" s="14"/>
      <c r="LV60" s="14"/>
      <c r="LW60" s="14"/>
      <c r="LX60" s="14"/>
      <c r="LY60" s="14"/>
      <c r="LZ60" s="14"/>
    </row>
    <row r="61" spans="2:338" ht="13.5" thickBot="1" x14ac:dyDescent="0.25">
      <c r="B61" s="28">
        <v>4</v>
      </c>
      <c r="C61" s="262"/>
      <c r="D61" s="270"/>
      <c r="E61" s="207" t="e">
        <f>RANK(C61,$C$58:$D$62)</f>
        <v>#N/A</v>
      </c>
      <c r="F61" s="31"/>
      <c r="G61" s="354" t="e">
        <f>RANK(C61,$C$46:$D$68)</f>
        <v>#N/A</v>
      </c>
      <c r="H61" s="355"/>
      <c r="I61" s="31"/>
      <c r="J61" s="31"/>
      <c r="N61" s="28">
        <v>4</v>
      </c>
      <c r="O61" s="262"/>
      <c r="P61" s="270"/>
      <c r="Q61" s="354" t="e">
        <f>RANK(O61,$O$58:$P$62)</f>
        <v>#N/A</v>
      </c>
      <c r="R61" s="355"/>
      <c r="S61" s="354" t="e">
        <f>RANK(O61,$O$46:$P$68)</f>
        <v>#N/A</v>
      </c>
      <c r="T61" s="355"/>
      <c r="U61" s="31"/>
      <c r="V61" s="34"/>
      <c r="X61" s="8">
        <v>5</v>
      </c>
      <c r="Y61" s="359" t="e">
        <f>AE61*$AE$43+AG61*$AG$43+AI61*$AI$43+AK61*$AK$43</f>
        <v>#DIV/0!</v>
      </c>
      <c r="Z61" s="360"/>
      <c r="AA61" s="354" t="e">
        <f>RANK(Y61,$Y$57:$Z$61)</f>
        <v>#DIV/0!</v>
      </c>
      <c r="AB61" s="355"/>
      <c r="AC61" s="354" t="e">
        <f>RANK(Y61,$Y$45:$Z$67)</f>
        <v>#DIV/0!</v>
      </c>
      <c r="AD61" s="356"/>
      <c r="AE61" s="361" t="e">
        <f t="shared" si="15"/>
        <v>#DIV/0!</v>
      </c>
      <c r="AF61" s="360"/>
      <c r="AG61" s="359" t="e">
        <f>MD28</f>
        <v>#DIV/0!</v>
      </c>
      <c r="AH61" s="360"/>
      <c r="AI61" s="359">
        <f>C62</f>
        <v>0</v>
      </c>
      <c r="AJ61" s="360"/>
      <c r="AK61" s="359">
        <f>O62</f>
        <v>0</v>
      </c>
      <c r="AL61" s="378"/>
      <c r="AM61" s="11"/>
      <c r="AN61" s="11"/>
      <c r="AO61" s="28"/>
      <c r="AP61" s="32"/>
      <c r="AQ61" s="29"/>
      <c r="AR61" s="32"/>
      <c r="AS61" s="33"/>
      <c r="AT61" s="31"/>
      <c r="AU61" s="31"/>
      <c r="AV61" s="34"/>
      <c r="AW61" s="11"/>
      <c r="AX61" s="11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14"/>
      <c r="GC61" s="14"/>
      <c r="GD61" s="14"/>
      <c r="GE61" s="14"/>
      <c r="GF61" s="14"/>
      <c r="GG61" s="14"/>
      <c r="GH61" s="14"/>
      <c r="GI61" s="14"/>
      <c r="GJ61" s="14"/>
      <c r="GK61" s="14"/>
      <c r="GL61" s="14"/>
      <c r="GM61" s="14"/>
      <c r="GN61" s="14"/>
      <c r="GO61" s="14"/>
      <c r="GP61" s="14"/>
      <c r="GQ61" s="14"/>
      <c r="GR61" s="14"/>
      <c r="GS61" s="14"/>
      <c r="GT61" s="14"/>
      <c r="GU61" s="14"/>
      <c r="GV61" s="14"/>
      <c r="GW61" s="14"/>
      <c r="GX61" s="14"/>
      <c r="GY61" s="14"/>
      <c r="GZ61" s="14"/>
      <c r="HA61" s="14"/>
      <c r="HB61" s="14"/>
      <c r="HC61" s="14"/>
      <c r="HD61" s="14"/>
      <c r="HE61" s="14"/>
      <c r="HF61" s="14"/>
      <c r="HG61" s="14"/>
      <c r="HH61" s="14"/>
      <c r="HI61" s="14"/>
      <c r="HJ61" s="14"/>
      <c r="HK61" s="14"/>
      <c r="HL61" s="14"/>
      <c r="HM61" s="14"/>
      <c r="HN61" s="14"/>
      <c r="HO61" s="14"/>
      <c r="HP61" s="14"/>
      <c r="HQ61" s="14"/>
      <c r="HR61" s="14"/>
      <c r="HS61" s="14"/>
      <c r="HT61" s="14"/>
      <c r="HU61" s="14"/>
      <c r="HV61" s="14"/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  <c r="IP61" s="14"/>
      <c r="IQ61" s="14"/>
      <c r="IR61" s="14"/>
      <c r="IS61" s="14"/>
      <c r="IT61" s="14"/>
      <c r="IU61" s="14"/>
      <c r="IV61" s="14"/>
      <c r="IW61" s="14"/>
      <c r="IX61" s="14"/>
      <c r="IY61" s="14"/>
      <c r="IZ61" s="14"/>
      <c r="JA61" s="14"/>
      <c r="JB61" s="14"/>
      <c r="JC61" s="14"/>
      <c r="JD61" s="14"/>
      <c r="JE61" s="14"/>
      <c r="JF61" s="14"/>
      <c r="JG61" s="14"/>
      <c r="JH61" s="14"/>
      <c r="JI61" s="14"/>
      <c r="JJ61" s="14"/>
      <c r="JK61" s="14"/>
      <c r="JL61" s="14"/>
      <c r="JM61" s="14"/>
      <c r="JN61" s="14"/>
      <c r="JO61" s="14"/>
      <c r="JP61" s="14"/>
      <c r="JQ61" s="14"/>
      <c r="JR61" s="14"/>
      <c r="JS61" s="14"/>
      <c r="JT61" s="14"/>
      <c r="JU61" s="14"/>
      <c r="JV61" s="14"/>
      <c r="JW61" s="14"/>
      <c r="JX61" s="14"/>
      <c r="JY61" s="14"/>
      <c r="JZ61" s="14"/>
      <c r="KA61" s="14"/>
      <c r="KB61" s="14"/>
      <c r="KC61" s="14"/>
      <c r="KD61" s="14"/>
      <c r="KE61" s="14"/>
      <c r="KF61" s="14"/>
      <c r="KG61" s="14"/>
      <c r="KH61" s="14"/>
      <c r="KI61" s="14"/>
      <c r="KJ61" s="14"/>
      <c r="KK61" s="14"/>
      <c r="KL61" s="14"/>
      <c r="KM61" s="14"/>
      <c r="KN61" s="14"/>
      <c r="KO61" s="14"/>
      <c r="KP61" s="14"/>
      <c r="KQ61" s="14"/>
      <c r="KR61" s="14"/>
      <c r="KS61" s="14"/>
      <c r="KT61" s="14"/>
      <c r="KU61" s="14"/>
      <c r="KV61" s="14"/>
      <c r="KW61" s="14"/>
      <c r="KX61" s="14"/>
      <c r="KY61" s="14"/>
      <c r="KZ61" s="14"/>
      <c r="LA61" s="14"/>
      <c r="LB61" s="14"/>
      <c r="LC61" s="14"/>
      <c r="LD61" s="14"/>
      <c r="LE61" s="14"/>
      <c r="LF61" s="14"/>
      <c r="LG61" s="14"/>
      <c r="LH61" s="14"/>
      <c r="LI61" s="14"/>
      <c r="LJ61" s="14"/>
      <c r="LK61" s="14"/>
      <c r="LL61" s="14"/>
      <c r="LM61" s="14"/>
      <c r="LN61" s="14"/>
      <c r="LO61" s="14"/>
      <c r="LP61" s="14"/>
      <c r="LQ61" s="14"/>
      <c r="LR61" s="14"/>
      <c r="LS61" s="14"/>
      <c r="LT61" s="14"/>
      <c r="LU61" s="14"/>
      <c r="LV61" s="14"/>
      <c r="LW61" s="14"/>
      <c r="LX61" s="14"/>
      <c r="LY61" s="14"/>
      <c r="LZ61" s="14"/>
    </row>
    <row r="62" spans="2:338" ht="13.5" thickBot="1" x14ac:dyDescent="0.25">
      <c r="B62" s="28">
        <v>5</v>
      </c>
      <c r="C62" s="264"/>
      <c r="D62" s="272"/>
      <c r="E62" s="207" t="e">
        <f>RANK(C62,$C$58:$D$62)</f>
        <v>#N/A</v>
      </c>
      <c r="F62" s="31"/>
      <c r="G62" s="354" t="e">
        <f>RANK(C62,$C$46:$D$68)</f>
        <v>#N/A</v>
      </c>
      <c r="H62" s="355"/>
      <c r="I62" s="31"/>
      <c r="J62" s="31"/>
      <c r="N62" s="28">
        <v>5</v>
      </c>
      <c r="O62" s="264"/>
      <c r="P62" s="272"/>
      <c r="Q62" s="354" t="e">
        <f>RANK(O62,$O$58:$P$62)</f>
        <v>#N/A</v>
      </c>
      <c r="R62" s="355"/>
      <c r="S62" s="354" t="e">
        <f>RANK(O62,$O$46:$P$68)</f>
        <v>#N/A</v>
      </c>
      <c r="T62" s="355"/>
      <c r="U62" s="31"/>
      <c r="V62" s="34"/>
      <c r="X62" s="26" t="s">
        <v>15</v>
      </c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367">
        <v>0.25</v>
      </c>
      <c r="AJ62" s="368"/>
      <c r="AK62" s="381" t="e">
        <f>AVERAGE(Y63:Z67)</f>
        <v>#DIV/0!</v>
      </c>
      <c r="AL62" s="382"/>
      <c r="AM62" s="259"/>
      <c r="AN62" s="259"/>
      <c r="AO62" s="379" t="e">
        <f>SUM(Y63:Z67)</f>
        <v>#DIV/0!</v>
      </c>
      <c r="AP62" s="380"/>
      <c r="AQ62" s="375" t="e">
        <f>AO62*4</f>
        <v>#DIV/0!</v>
      </c>
      <c r="AR62" s="376"/>
      <c r="AS62" s="377"/>
      <c r="AT62" s="375" t="e">
        <f>AQ62*AI62</f>
        <v>#DIV/0!</v>
      </c>
      <c r="AU62" s="376"/>
      <c r="AV62" s="377"/>
      <c r="AW62" s="259"/>
      <c r="AX62" s="259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</row>
    <row r="63" spans="2:338" ht="13.5" thickBot="1" x14ac:dyDescent="0.25">
      <c r="B63" s="26" t="s">
        <v>15</v>
      </c>
      <c r="C63" s="27"/>
      <c r="D63" s="27"/>
      <c r="E63" s="27"/>
      <c r="F63" s="27"/>
      <c r="G63" s="357">
        <f>AI62</f>
        <v>0.25</v>
      </c>
      <c r="H63" s="358"/>
      <c r="I63" s="364">
        <f>SUM(C64:C68)</f>
        <v>0</v>
      </c>
      <c r="J63" s="445"/>
      <c r="N63" s="26" t="s">
        <v>15</v>
      </c>
      <c r="O63" s="27"/>
      <c r="P63" s="27"/>
      <c r="Q63" s="27"/>
      <c r="R63" s="27"/>
      <c r="S63" s="357">
        <f>AI62</f>
        <v>0.25</v>
      </c>
      <c r="T63" s="358"/>
      <c r="U63" s="364">
        <f>SUM(O64:O68)</f>
        <v>0</v>
      </c>
      <c r="V63" s="365"/>
      <c r="X63" s="8">
        <v>1</v>
      </c>
      <c r="Y63" s="359" t="e">
        <f>AE63*$AE$43+AG63*$AG$43+AI63*$AI$43+AK63*$AK$43</f>
        <v>#DIV/0!</v>
      </c>
      <c r="Z63" s="360"/>
      <c r="AA63" s="354" t="e">
        <f>RANK(Y63,$Y$63:$Z$67)</f>
        <v>#DIV/0!</v>
      </c>
      <c r="AB63" s="355"/>
      <c r="AC63" s="354" t="e">
        <f>RANK(Y63,$Y$45:$Z$67)</f>
        <v>#DIV/0!</v>
      </c>
      <c r="AD63" s="356"/>
      <c r="AE63" s="361" t="e">
        <f>C30</f>
        <v>#DIV/0!</v>
      </c>
      <c r="AF63" s="360"/>
      <c r="AG63" s="359" t="e">
        <f>MD30</f>
        <v>#DIV/0!</v>
      </c>
      <c r="AH63" s="360"/>
      <c r="AI63" s="359">
        <f>C64</f>
        <v>0</v>
      </c>
      <c r="AJ63" s="360"/>
      <c r="AK63" s="359">
        <f>O64</f>
        <v>0</v>
      </c>
      <c r="AL63" s="378"/>
      <c r="AM63" s="11"/>
      <c r="AN63" s="11"/>
      <c r="AO63" s="30"/>
      <c r="AP63" s="31"/>
      <c r="AQ63" s="29"/>
      <c r="AR63" s="32"/>
      <c r="AS63" s="33"/>
      <c r="AT63" s="31"/>
      <c r="AU63" s="31"/>
      <c r="AV63" s="34"/>
      <c r="AW63" s="11"/>
      <c r="AX63" s="11"/>
      <c r="DH63" s="41"/>
      <c r="DI63" s="41"/>
    </row>
    <row r="64" spans="2:338" x14ac:dyDescent="0.2">
      <c r="B64" s="28">
        <v>1</v>
      </c>
      <c r="C64" s="261"/>
      <c r="D64" s="269"/>
      <c r="E64" s="204" t="e">
        <f>RANK(C64,$C$64:$D$68)</f>
        <v>#N/A</v>
      </c>
      <c r="F64" s="334"/>
      <c r="G64" s="362" t="e">
        <f>RANK(C64,$C$46:$D$68)</f>
        <v>#N/A</v>
      </c>
      <c r="H64" s="363"/>
      <c r="I64" s="31"/>
      <c r="J64" s="31"/>
      <c r="N64" s="28">
        <v>1</v>
      </c>
      <c r="O64" s="261"/>
      <c r="P64" s="269"/>
      <c r="Q64" s="362" t="e">
        <f>RANK(O64,$O$64:$P$68)</f>
        <v>#N/A</v>
      </c>
      <c r="R64" s="363"/>
      <c r="S64" s="362" t="e">
        <f>RANK(O64,$O$46:$P$68)</f>
        <v>#N/A</v>
      </c>
      <c r="T64" s="363"/>
      <c r="U64" s="31"/>
      <c r="V64" s="34"/>
      <c r="X64" s="8">
        <v>2</v>
      </c>
      <c r="Y64" s="359" t="e">
        <f>AE64*$AE$43+AG64*$AG$43+AI64*$AI$43+AK64*$AK$43</f>
        <v>#DIV/0!</v>
      </c>
      <c r="Z64" s="360"/>
      <c r="AA64" s="354" t="e">
        <f>RANK(Y64,$Y$63:$Z$67)</f>
        <v>#DIV/0!</v>
      </c>
      <c r="AB64" s="355"/>
      <c r="AC64" s="354" t="e">
        <f>RANK(Y64,$Y$45:$Z$67)</f>
        <v>#DIV/0!</v>
      </c>
      <c r="AD64" s="356"/>
      <c r="AE64" s="361" t="e">
        <f>C31</f>
        <v>#DIV/0!</v>
      </c>
      <c r="AF64" s="360"/>
      <c r="AG64" s="359" t="e">
        <f>MD31</f>
        <v>#DIV/0!</v>
      </c>
      <c r="AH64" s="360"/>
      <c r="AI64" s="359">
        <f>C65</f>
        <v>0</v>
      </c>
      <c r="AJ64" s="360"/>
      <c r="AK64" s="359">
        <f>O65</f>
        <v>0</v>
      </c>
      <c r="AL64" s="378"/>
      <c r="AM64" s="11"/>
      <c r="AN64" s="11"/>
      <c r="AO64" s="28"/>
      <c r="AP64" s="32"/>
      <c r="AQ64" s="29"/>
      <c r="AR64" s="32"/>
      <c r="AS64" s="33"/>
      <c r="AT64" s="31"/>
      <c r="AU64" s="31"/>
      <c r="AV64" s="34"/>
      <c r="AW64" s="11"/>
      <c r="AX64" s="11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  <c r="HH64" s="14"/>
      <c r="HI64" s="14"/>
      <c r="HJ64" s="14"/>
      <c r="HK64" s="14"/>
      <c r="HL64" s="14"/>
      <c r="HM64" s="14"/>
      <c r="HN64" s="14"/>
      <c r="HO64" s="14"/>
      <c r="HP64" s="14"/>
      <c r="HQ64" s="14"/>
      <c r="HR64" s="14"/>
      <c r="HS64" s="14"/>
      <c r="HT64" s="14"/>
      <c r="HU64" s="14"/>
      <c r="HV64" s="14"/>
      <c r="HW64" s="14"/>
      <c r="HX64" s="14"/>
      <c r="HY64" s="14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4"/>
      <c r="IP64" s="14"/>
      <c r="IQ64" s="14"/>
      <c r="IR64" s="14"/>
      <c r="IS64" s="14"/>
      <c r="IT64" s="14"/>
      <c r="IU64" s="14"/>
      <c r="IV64" s="14"/>
      <c r="IW64" s="14"/>
      <c r="IX64" s="14"/>
      <c r="IY64" s="14"/>
      <c r="IZ64" s="14"/>
      <c r="JA64" s="14"/>
      <c r="JB64" s="14"/>
      <c r="JC64" s="14"/>
      <c r="JD64" s="14"/>
      <c r="JE64" s="14"/>
      <c r="JF64" s="14"/>
      <c r="JG64" s="14"/>
      <c r="JH64" s="14"/>
      <c r="JI64" s="14"/>
      <c r="JJ64" s="14"/>
      <c r="JK64" s="14"/>
      <c r="JL64" s="14"/>
      <c r="JM64" s="14"/>
      <c r="JN64" s="14"/>
      <c r="JO64" s="14"/>
      <c r="JP64" s="14"/>
      <c r="JQ64" s="14"/>
      <c r="JR64" s="14"/>
      <c r="JS64" s="14"/>
      <c r="JT64" s="14"/>
      <c r="JU64" s="14"/>
      <c r="JV64" s="14"/>
      <c r="JW64" s="14"/>
      <c r="JX64" s="14"/>
      <c r="JY64" s="14"/>
      <c r="JZ64" s="14"/>
      <c r="KA64" s="14"/>
      <c r="KB64" s="14"/>
      <c r="KC64" s="14"/>
      <c r="KD64" s="14"/>
      <c r="KE64" s="14"/>
      <c r="KF64" s="14"/>
      <c r="KG64" s="14"/>
      <c r="KH64" s="14"/>
      <c r="KI64" s="14"/>
      <c r="KJ64" s="14"/>
      <c r="KK64" s="14"/>
      <c r="KL64" s="14"/>
      <c r="KM64" s="14"/>
      <c r="KN64" s="14"/>
      <c r="KO64" s="14"/>
      <c r="KP64" s="14"/>
      <c r="KQ64" s="14"/>
      <c r="KR64" s="14"/>
      <c r="KS64" s="14"/>
      <c r="KT64" s="14"/>
      <c r="KU64" s="14"/>
      <c r="KV64" s="14"/>
      <c r="KW64" s="14"/>
      <c r="KX64" s="14"/>
      <c r="KY64" s="14"/>
      <c r="KZ64" s="14"/>
      <c r="LA64" s="14"/>
      <c r="LB64" s="14"/>
      <c r="LC64" s="14"/>
      <c r="LD64" s="14"/>
      <c r="LE64" s="14"/>
      <c r="LF64" s="14"/>
      <c r="LG64" s="14"/>
      <c r="LH64" s="14"/>
      <c r="LI64" s="14"/>
      <c r="LJ64" s="14"/>
      <c r="LK64" s="14"/>
      <c r="LL64" s="14"/>
      <c r="LM64" s="14"/>
      <c r="LN64" s="14"/>
      <c r="LO64" s="14"/>
      <c r="LP64" s="14"/>
      <c r="LQ64" s="14"/>
      <c r="LR64" s="14"/>
      <c r="LS64" s="14"/>
      <c r="LT64" s="14"/>
      <c r="LU64" s="14"/>
      <c r="LV64" s="14"/>
      <c r="LW64" s="14"/>
      <c r="LX64" s="14"/>
      <c r="LY64" s="14"/>
      <c r="LZ64" s="14"/>
    </row>
    <row r="65" spans="2:344" x14ac:dyDescent="0.2">
      <c r="B65" s="28">
        <v>2</v>
      </c>
      <c r="C65" s="262"/>
      <c r="D65" s="270"/>
      <c r="E65" s="207" t="e">
        <f>RANK(C65,$C$64:$D$68)</f>
        <v>#N/A</v>
      </c>
      <c r="F65" s="31"/>
      <c r="G65" s="354" t="e">
        <f>RANK(C65,$C$46:$D$68)</f>
        <v>#N/A</v>
      </c>
      <c r="H65" s="355"/>
      <c r="I65" s="31"/>
      <c r="J65" s="31"/>
      <c r="N65" s="28">
        <v>2</v>
      </c>
      <c r="O65" s="262"/>
      <c r="P65" s="270"/>
      <c r="Q65" s="354" t="e">
        <f>RANK(O65,$O$64:$P$68)</f>
        <v>#N/A</v>
      </c>
      <c r="R65" s="355"/>
      <c r="S65" s="354" t="e">
        <f>RANK(O65,$O$46:$P$68)</f>
        <v>#N/A</v>
      </c>
      <c r="T65" s="355"/>
      <c r="U65" s="31"/>
      <c r="V65" s="34"/>
      <c r="X65" s="8">
        <v>3</v>
      </c>
      <c r="Y65" s="359" t="e">
        <f>AE65*$AE$43+AG65*$AG$43+AI65*$AI$43+AK65*$AK$43</f>
        <v>#DIV/0!</v>
      </c>
      <c r="Z65" s="360"/>
      <c r="AA65" s="354" t="e">
        <f>RANK(Y65,$Y$63:$Z$67)</f>
        <v>#DIV/0!</v>
      </c>
      <c r="AB65" s="355"/>
      <c r="AC65" s="354" t="e">
        <f>RANK(Y65,$Y$45:$Z$67)</f>
        <v>#DIV/0!</v>
      </c>
      <c r="AD65" s="356"/>
      <c r="AE65" s="361" t="e">
        <f>C32</f>
        <v>#DIV/0!</v>
      </c>
      <c r="AF65" s="360"/>
      <c r="AG65" s="359" t="e">
        <f>MD32</f>
        <v>#DIV/0!</v>
      </c>
      <c r="AH65" s="360"/>
      <c r="AI65" s="359">
        <f>C66</f>
        <v>0</v>
      </c>
      <c r="AJ65" s="360"/>
      <c r="AK65" s="359">
        <f>O66</f>
        <v>0</v>
      </c>
      <c r="AL65" s="378"/>
      <c r="AM65" s="11"/>
      <c r="AN65" s="11"/>
      <c r="AO65" s="28"/>
      <c r="AP65" s="32"/>
      <c r="AQ65" s="29"/>
      <c r="AR65" s="32"/>
      <c r="AS65" s="33"/>
      <c r="AT65" s="31"/>
      <c r="AU65" s="31"/>
      <c r="AV65" s="34"/>
      <c r="AW65" s="11"/>
      <c r="AX65" s="11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  <c r="HB65" s="14"/>
      <c r="HC65" s="14"/>
      <c r="HD65" s="14"/>
      <c r="HE65" s="14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  <c r="HQ65" s="14"/>
      <c r="HR65" s="14"/>
      <c r="HS65" s="14"/>
      <c r="HT65" s="14"/>
      <c r="HU65" s="14"/>
      <c r="HV65" s="14"/>
      <c r="HW65" s="14"/>
      <c r="HX65" s="14"/>
      <c r="HY65" s="14"/>
      <c r="HZ65" s="1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4"/>
      <c r="IP65" s="14"/>
      <c r="IQ65" s="14"/>
      <c r="IR65" s="14"/>
      <c r="IS65" s="14"/>
      <c r="IT65" s="14"/>
      <c r="IU65" s="14"/>
      <c r="IV65" s="14"/>
      <c r="IW65" s="14"/>
      <c r="IX65" s="14"/>
      <c r="IY65" s="14"/>
      <c r="IZ65" s="14"/>
      <c r="JA65" s="14"/>
      <c r="JB65" s="14"/>
      <c r="JC65" s="14"/>
      <c r="JD65" s="14"/>
      <c r="JE65" s="14"/>
      <c r="JF65" s="14"/>
      <c r="JG65" s="14"/>
      <c r="JH65" s="14"/>
      <c r="JI65" s="14"/>
      <c r="JJ65" s="14"/>
      <c r="JK65" s="14"/>
      <c r="JL65" s="14"/>
      <c r="JM65" s="14"/>
      <c r="JN65" s="14"/>
      <c r="JO65" s="14"/>
      <c r="JP65" s="14"/>
      <c r="JQ65" s="14"/>
      <c r="JR65" s="14"/>
      <c r="JS65" s="14"/>
      <c r="JT65" s="14"/>
      <c r="JU65" s="14"/>
      <c r="JV65" s="14"/>
      <c r="JW65" s="14"/>
      <c r="JX65" s="14"/>
      <c r="JY65" s="14"/>
      <c r="JZ65" s="14"/>
      <c r="KA65" s="14"/>
      <c r="KB65" s="14"/>
      <c r="KC65" s="14"/>
      <c r="KD65" s="14"/>
      <c r="KE65" s="14"/>
      <c r="KF65" s="14"/>
      <c r="KG65" s="14"/>
      <c r="KH65" s="14"/>
      <c r="KI65" s="14"/>
      <c r="KJ65" s="14"/>
      <c r="KK65" s="14"/>
      <c r="KL65" s="14"/>
      <c r="KM65" s="14"/>
      <c r="KN65" s="14"/>
      <c r="KO65" s="14"/>
      <c r="KP65" s="14"/>
      <c r="KQ65" s="14"/>
      <c r="KR65" s="14"/>
      <c r="KS65" s="14"/>
      <c r="KT65" s="14"/>
      <c r="KU65" s="14"/>
      <c r="KV65" s="14"/>
      <c r="KW65" s="14"/>
      <c r="KX65" s="14"/>
      <c r="KY65" s="14"/>
      <c r="KZ65" s="14"/>
      <c r="LA65" s="14"/>
      <c r="LB65" s="14"/>
      <c r="LC65" s="14"/>
      <c r="LD65" s="14"/>
      <c r="LE65" s="14"/>
      <c r="LF65" s="14"/>
      <c r="LG65" s="14"/>
      <c r="LH65" s="14"/>
      <c r="LI65" s="14"/>
      <c r="LJ65" s="14"/>
      <c r="LK65" s="14"/>
      <c r="LL65" s="14"/>
      <c r="LM65" s="14"/>
      <c r="LN65" s="14"/>
      <c r="LO65" s="14"/>
      <c r="LP65" s="14"/>
      <c r="LQ65" s="14"/>
      <c r="LR65" s="14"/>
      <c r="LS65" s="14"/>
      <c r="LT65" s="14"/>
      <c r="LU65" s="14"/>
      <c r="LV65" s="14"/>
      <c r="LW65" s="14"/>
      <c r="LX65" s="14"/>
      <c r="LY65" s="14"/>
      <c r="LZ65" s="14"/>
    </row>
    <row r="66" spans="2:344" x14ac:dyDescent="0.2">
      <c r="B66" s="28">
        <v>3</v>
      </c>
      <c r="C66" s="262"/>
      <c r="D66" s="270"/>
      <c r="E66" s="207" t="e">
        <f>RANK(C66,$C$64:$D$68)</f>
        <v>#N/A</v>
      </c>
      <c r="F66" s="31"/>
      <c r="G66" s="354" t="e">
        <f>RANK(C66,$C$46:$D$68)</f>
        <v>#N/A</v>
      </c>
      <c r="H66" s="355"/>
      <c r="I66" s="31"/>
      <c r="J66" s="31"/>
      <c r="N66" s="28">
        <v>3</v>
      </c>
      <c r="O66" s="262"/>
      <c r="P66" s="270"/>
      <c r="Q66" s="354" t="e">
        <f>RANK(O66,$O$64:$P$68)</f>
        <v>#N/A</v>
      </c>
      <c r="R66" s="355"/>
      <c r="S66" s="354" t="e">
        <f>RANK(O66,$O$46:$P$68)</f>
        <v>#N/A</v>
      </c>
      <c r="T66" s="355"/>
      <c r="U66" s="31"/>
      <c r="V66" s="34"/>
      <c r="X66" s="8">
        <v>4</v>
      </c>
      <c r="Y66" s="359" t="e">
        <f>AE66*$AE$43+AG66*$AG$43+AI66*$AI$43+AK66*$AK$43</f>
        <v>#DIV/0!</v>
      </c>
      <c r="Z66" s="360"/>
      <c r="AA66" s="354" t="e">
        <f>RANK(Y66,$Y$63:$Z$67)</f>
        <v>#DIV/0!</v>
      </c>
      <c r="AB66" s="355"/>
      <c r="AC66" s="354" t="e">
        <f>RANK(Y66,$Y$45:$Z$67)</f>
        <v>#DIV/0!</v>
      </c>
      <c r="AD66" s="356"/>
      <c r="AE66" s="361" t="e">
        <f>C33</f>
        <v>#DIV/0!</v>
      </c>
      <c r="AF66" s="360"/>
      <c r="AG66" s="359" t="e">
        <f>MD33</f>
        <v>#DIV/0!</v>
      </c>
      <c r="AH66" s="360"/>
      <c r="AI66" s="359">
        <f>C67</f>
        <v>0</v>
      </c>
      <c r="AJ66" s="360"/>
      <c r="AK66" s="359">
        <f>O67</f>
        <v>0</v>
      </c>
      <c r="AL66" s="378"/>
      <c r="AM66" s="11"/>
      <c r="AN66" s="11"/>
      <c r="AO66" s="28"/>
      <c r="AP66" s="32"/>
      <c r="AQ66" s="29"/>
      <c r="AR66" s="32"/>
      <c r="AS66" s="33"/>
      <c r="AT66" s="31"/>
      <c r="AU66" s="31"/>
      <c r="AV66" s="34"/>
      <c r="AW66" s="11"/>
      <c r="AX66" s="11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  <c r="IP66" s="14"/>
      <c r="IQ66" s="14"/>
      <c r="IR66" s="14"/>
      <c r="IS66" s="14"/>
      <c r="IT66" s="14"/>
      <c r="IU66" s="14"/>
      <c r="IV66" s="14"/>
      <c r="IW66" s="14"/>
      <c r="IX66" s="14"/>
      <c r="IY66" s="14"/>
      <c r="IZ66" s="14"/>
      <c r="JA66" s="14"/>
      <c r="JB66" s="14"/>
      <c r="JC66" s="14"/>
      <c r="JD66" s="14"/>
      <c r="JE66" s="14"/>
      <c r="JF66" s="14"/>
      <c r="JG66" s="14"/>
      <c r="JH66" s="14"/>
      <c r="JI66" s="14"/>
      <c r="JJ66" s="14"/>
      <c r="JK66" s="14"/>
      <c r="JL66" s="14"/>
      <c r="JM66" s="14"/>
      <c r="JN66" s="14"/>
      <c r="JO66" s="14"/>
      <c r="JP66" s="14"/>
      <c r="JQ66" s="14"/>
      <c r="JR66" s="14"/>
      <c r="JS66" s="14"/>
      <c r="JT66" s="14"/>
      <c r="JU66" s="14"/>
      <c r="JV66" s="14"/>
      <c r="JW66" s="14"/>
      <c r="JX66" s="14"/>
      <c r="JY66" s="14"/>
      <c r="JZ66" s="14"/>
      <c r="KA66" s="14"/>
      <c r="KB66" s="14"/>
      <c r="KC66" s="14"/>
      <c r="KD66" s="14"/>
      <c r="KE66" s="14"/>
      <c r="KF66" s="14"/>
      <c r="KG66" s="14"/>
      <c r="KH66" s="14"/>
      <c r="KI66" s="14"/>
      <c r="KJ66" s="14"/>
      <c r="KK66" s="14"/>
      <c r="KL66" s="14"/>
      <c r="KM66" s="14"/>
      <c r="KN66" s="14"/>
      <c r="KO66" s="14"/>
      <c r="KP66" s="14"/>
      <c r="KQ66" s="14"/>
      <c r="KR66" s="14"/>
      <c r="KS66" s="14"/>
      <c r="KT66" s="14"/>
      <c r="KU66" s="14"/>
      <c r="KV66" s="14"/>
      <c r="KW66" s="14"/>
      <c r="KX66" s="14"/>
      <c r="KY66" s="14"/>
      <c r="KZ66" s="14"/>
      <c r="LA66" s="14"/>
      <c r="LB66" s="14"/>
      <c r="LC66" s="14"/>
      <c r="LD66" s="14"/>
      <c r="LE66" s="14"/>
      <c r="LF66" s="14"/>
      <c r="LG66" s="14"/>
      <c r="LH66" s="14"/>
      <c r="LI66" s="14"/>
      <c r="LJ66" s="14"/>
      <c r="LK66" s="14"/>
      <c r="LL66" s="14"/>
      <c r="LM66" s="14"/>
      <c r="LN66" s="14"/>
      <c r="LO66" s="14"/>
      <c r="LP66" s="14"/>
      <c r="LQ66" s="14"/>
      <c r="LR66" s="14"/>
      <c r="LS66" s="14"/>
      <c r="LT66" s="14"/>
      <c r="LU66" s="14"/>
      <c r="LV66" s="14"/>
      <c r="LW66" s="14"/>
      <c r="LX66" s="14"/>
      <c r="LY66" s="14"/>
      <c r="LZ66" s="14"/>
    </row>
    <row r="67" spans="2:344" ht="13.5" thickBot="1" x14ac:dyDescent="0.25">
      <c r="B67" s="28">
        <v>4</v>
      </c>
      <c r="C67" s="262"/>
      <c r="D67" s="270"/>
      <c r="E67" s="207" t="e">
        <f>RANK(C67,$C$58:$D$62)</f>
        <v>#N/A</v>
      </c>
      <c r="F67" s="31"/>
      <c r="G67" s="354" t="e">
        <f>RANK(C67,$C$46:$D$68)</f>
        <v>#N/A</v>
      </c>
      <c r="H67" s="355"/>
      <c r="I67" s="31"/>
      <c r="J67" s="31"/>
      <c r="N67" s="28">
        <v>4</v>
      </c>
      <c r="O67" s="262"/>
      <c r="P67" s="270"/>
      <c r="Q67" s="354" t="e">
        <f>RANK(O67,$O$64:$P$68)</f>
        <v>#N/A</v>
      </c>
      <c r="R67" s="355"/>
      <c r="S67" s="354" t="e">
        <f>RANK(O67,$O$46:$P$68)</f>
        <v>#N/A</v>
      </c>
      <c r="T67" s="355"/>
      <c r="U67" s="31"/>
      <c r="V67" s="34"/>
      <c r="X67" s="8">
        <v>5</v>
      </c>
      <c r="Y67" s="359" t="e">
        <f>AE67*$AE$43+AG67*$AG$43+AI67*$AI$43+AK67*$AK$43</f>
        <v>#DIV/0!</v>
      </c>
      <c r="Z67" s="360"/>
      <c r="AA67" s="354" t="e">
        <f>RANK(Y67,$Y$63:$Z$67)</f>
        <v>#DIV/0!</v>
      </c>
      <c r="AB67" s="355"/>
      <c r="AC67" s="354" t="e">
        <f>RANK(Y67,$Y$45:$Z$67)</f>
        <v>#DIV/0!</v>
      </c>
      <c r="AD67" s="356"/>
      <c r="AE67" s="361" t="e">
        <f>C34</f>
        <v>#DIV/0!</v>
      </c>
      <c r="AF67" s="360"/>
      <c r="AG67" s="359" t="e">
        <f>MD34</f>
        <v>#DIV/0!</v>
      </c>
      <c r="AH67" s="360"/>
      <c r="AI67" s="359">
        <f>C68</f>
        <v>0</v>
      </c>
      <c r="AJ67" s="360"/>
      <c r="AK67" s="359">
        <f>O68</f>
        <v>0</v>
      </c>
      <c r="AL67" s="378"/>
      <c r="AM67" s="11"/>
      <c r="AN67" s="11"/>
      <c r="AO67" s="28"/>
      <c r="AP67" s="32"/>
      <c r="AQ67" s="29"/>
      <c r="AR67" s="32"/>
      <c r="AS67" s="33"/>
      <c r="AT67" s="31"/>
      <c r="AU67" s="31"/>
      <c r="AV67" s="34"/>
      <c r="AW67" s="11"/>
      <c r="AX67" s="11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4"/>
      <c r="HY67" s="14"/>
      <c r="HZ67" s="14"/>
      <c r="IA67" s="14"/>
      <c r="IB67" s="14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4"/>
      <c r="IP67" s="14"/>
      <c r="IQ67" s="14"/>
      <c r="IR67" s="14"/>
      <c r="IS67" s="14"/>
      <c r="IT67" s="14"/>
      <c r="IU67" s="14"/>
      <c r="IV67" s="14"/>
      <c r="IW67" s="14"/>
      <c r="IX67" s="14"/>
      <c r="IY67" s="14"/>
      <c r="IZ67" s="14"/>
      <c r="JA67" s="14"/>
      <c r="JB67" s="14"/>
      <c r="JC67" s="14"/>
      <c r="JD67" s="14"/>
      <c r="JE67" s="14"/>
      <c r="JF67" s="14"/>
      <c r="JG67" s="14"/>
      <c r="JH67" s="14"/>
      <c r="JI67" s="14"/>
      <c r="JJ67" s="14"/>
      <c r="JK67" s="14"/>
      <c r="JL67" s="14"/>
      <c r="JM67" s="14"/>
      <c r="JN67" s="14"/>
      <c r="JO67" s="14"/>
      <c r="JP67" s="14"/>
      <c r="JQ67" s="14"/>
      <c r="JR67" s="14"/>
      <c r="JS67" s="14"/>
      <c r="JT67" s="14"/>
      <c r="JU67" s="14"/>
      <c r="JV67" s="14"/>
      <c r="JW67" s="14"/>
      <c r="JX67" s="14"/>
      <c r="JY67" s="14"/>
      <c r="JZ67" s="14"/>
      <c r="KA67" s="14"/>
      <c r="KB67" s="14"/>
      <c r="KC67" s="14"/>
      <c r="KD67" s="14"/>
      <c r="KE67" s="14"/>
      <c r="KF67" s="14"/>
      <c r="KG67" s="14"/>
      <c r="KH67" s="14"/>
      <c r="KI67" s="14"/>
      <c r="KJ67" s="14"/>
      <c r="KK67" s="14"/>
      <c r="KL67" s="14"/>
      <c r="KM67" s="14"/>
      <c r="KN67" s="14"/>
      <c r="KO67" s="14"/>
      <c r="KP67" s="14"/>
      <c r="KQ67" s="14"/>
      <c r="KR67" s="14"/>
      <c r="KS67" s="14"/>
      <c r="KT67" s="14"/>
      <c r="KU67" s="14"/>
      <c r="KV67" s="14"/>
      <c r="KW67" s="14"/>
      <c r="KX67" s="14"/>
      <c r="KY67" s="14"/>
      <c r="KZ67" s="14"/>
      <c r="LA67" s="14"/>
      <c r="LB67" s="14"/>
      <c r="LC67" s="14"/>
      <c r="LD67" s="14"/>
      <c r="LE67" s="14"/>
      <c r="LF67" s="14"/>
      <c r="LG67" s="14"/>
      <c r="LH67" s="14"/>
      <c r="LI67" s="14"/>
      <c r="LJ67" s="14"/>
      <c r="LK67" s="14"/>
      <c r="LL67" s="14"/>
      <c r="LM67" s="14"/>
      <c r="LN67" s="14"/>
      <c r="LO67" s="14"/>
      <c r="LP67" s="14"/>
      <c r="LQ67" s="14"/>
      <c r="LR67" s="14"/>
      <c r="LS67" s="14"/>
      <c r="LT67" s="14"/>
      <c r="LU67" s="14"/>
      <c r="LV67" s="14"/>
      <c r="LW67" s="14"/>
      <c r="LX67" s="14"/>
      <c r="LY67" s="14"/>
      <c r="LZ67" s="14"/>
    </row>
    <row r="68" spans="2:344" ht="13.5" thickBot="1" x14ac:dyDescent="0.25">
      <c r="B68" s="28">
        <v>5</v>
      </c>
      <c r="C68" s="264"/>
      <c r="D68" s="272"/>
      <c r="E68" s="207" t="e">
        <f>RANK(C68,$C$64:$D$68)</f>
        <v>#N/A</v>
      </c>
      <c r="F68" s="31"/>
      <c r="G68" s="354" t="e">
        <f>RANK(C68,$C$46:$D$68)</f>
        <v>#N/A</v>
      </c>
      <c r="H68" s="355"/>
      <c r="I68" s="31"/>
      <c r="J68" s="31"/>
      <c r="N68" s="28">
        <v>5</v>
      </c>
      <c r="O68" s="264"/>
      <c r="P68" s="272"/>
      <c r="Q68" s="354" t="e">
        <f>RANK(O68,$O$64:$P$68)</f>
        <v>#N/A</v>
      </c>
      <c r="R68" s="355"/>
      <c r="S68" s="354" t="e">
        <f>RANK(O68,$O$46:$P$68)</f>
        <v>#N/A</v>
      </c>
      <c r="T68" s="355"/>
      <c r="U68" s="31"/>
      <c r="V68" s="34"/>
      <c r="X68" s="114"/>
      <c r="Y68" s="115"/>
      <c r="Z68" s="115"/>
      <c r="AA68" s="116"/>
      <c r="AB68" s="117"/>
      <c r="AC68" s="117"/>
      <c r="AD68" s="118" t="s">
        <v>93</v>
      </c>
      <c r="AE68" s="383" t="e">
        <f>DJ36</f>
        <v>#DIV/0!</v>
      </c>
      <c r="AF68" s="384"/>
      <c r="AG68" s="383" t="e">
        <f>MO36</f>
        <v>#DIV/0!</v>
      </c>
      <c r="AH68" s="384"/>
      <c r="AI68" s="383">
        <f>I69</f>
        <v>0</v>
      </c>
      <c r="AJ68" s="384"/>
      <c r="AK68" s="383">
        <f>U69</f>
        <v>0</v>
      </c>
      <c r="AL68" s="384"/>
      <c r="AM68" s="328"/>
      <c r="AN68" s="328"/>
      <c r="AO68" s="121"/>
      <c r="AP68" s="122"/>
      <c r="AQ68" s="122"/>
      <c r="AR68" s="123"/>
      <c r="AS68" s="124"/>
      <c r="AT68" s="369" t="e">
        <f>ROUND(AT62+AT56+AT50+AT44,2)</f>
        <v>#DIV/0!</v>
      </c>
      <c r="AU68" s="370"/>
      <c r="AV68" s="371"/>
      <c r="AW68" s="328"/>
      <c r="AX68" s="328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4"/>
      <c r="HY68" s="1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  <c r="IP68" s="14"/>
      <c r="IQ68" s="14"/>
      <c r="IR68" s="14"/>
      <c r="IS68" s="14"/>
      <c r="IT68" s="14"/>
      <c r="IU68" s="14"/>
      <c r="IV68" s="14"/>
      <c r="IW68" s="14"/>
      <c r="IX68" s="14"/>
      <c r="IY68" s="14"/>
      <c r="IZ68" s="14"/>
      <c r="JA68" s="14"/>
      <c r="JB68" s="14"/>
      <c r="JC68" s="14"/>
      <c r="JD68" s="14"/>
      <c r="JE68" s="14"/>
      <c r="JF68" s="14"/>
      <c r="JG68" s="14"/>
      <c r="JH68" s="14"/>
      <c r="JI68" s="14"/>
      <c r="JJ68" s="14"/>
      <c r="JK68" s="14"/>
      <c r="JL68" s="14"/>
      <c r="JM68" s="14"/>
      <c r="JN68" s="14"/>
      <c r="JO68" s="14"/>
      <c r="JP68" s="14"/>
      <c r="JQ68" s="14"/>
      <c r="JR68" s="14"/>
      <c r="JS68" s="14"/>
      <c r="JT68" s="14"/>
      <c r="JU68" s="14"/>
      <c r="JV68" s="14"/>
      <c r="JW68" s="14"/>
      <c r="JX68" s="14"/>
      <c r="JY68" s="14"/>
      <c r="JZ68" s="14"/>
      <c r="KA68" s="14"/>
      <c r="KB68" s="14"/>
      <c r="KC68" s="14"/>
      <c r="KD68" s="14"/>
      <c r="KE68" s="14"/>
      <c r="KF68" s="14"/>
      <c r="KG68" s="14"/>
      <c r="KH68" s="14"/>
      <c r="KI68" s="14"/>
      <c r="KJ68" s="14"/>
      <c r="KK68" s="14"/>
      <c r="KL68" s="14"/>
      <c r="KM68" s="14"/>
      <c r="KN68" s="14"/>
      <c r="KO68" s="14"/>
      <c r="KP68" s="14"/>
      <c r="KQ68" s="14"/>
      <c r="KR68" s="14"/>
      <c r="KS68" s="14"/>
      <c r="KT68" s="14"/>
      <c r="KU68" s="14"/>
      <c r="KV68" s="14"/>
      <c r="KW68" s="14"/>
      <c r="KX68" s="14"/>
      <c r="KY68" s="14"/>
      <c r="KZ68" s="14"/>
      <c r="LA68" s="14"/>
      <c r="LB68" s="14"/>
      <c r="LC68" s="14"/>
      <c r="LD68" s="14"/>
      <c r="LE68" s="14"/>
      <c r="LF68" s="14"/>
      <c r="LG68" s="14"/>
      <c r="LH68" s="14"/>
      <c r="LI68" s="14"/>
      <c r="LJ68" s="14"/>
      <c r="LK68" s="14"/>
      <c r="LL68" s="14"/>
      <c r="LM68" s="14"/>
      <c r="LN68" s="14"/>
      <c r="LO68" s="14"/>
      <c r="LP68" s="14"/>
      <c r="LQ68" s="14"/>
      <c r="LR68" s="14"/>
      <c r="LS68" s="14"/>
      <c r="LT68" s="14"/>
      <c r="LU68" s="14"/>
      <c r="LV68" s="14"/>
      <c r="LW68" s="14"/>
      <c r="LX68" s="14"/>
      <c r="LY68" s="14"/>
      <c r="LZ68" s="14"/>
    </row>
    <row r="69" spans="2:344" ht="12.75" customHeight="1" thickBot="1" x14ac:dyDescent="0.25">
      <c r="B69" s="119"/>
      <c r="C69" s="144"/>
      <c r="D69" s="144"/>
      <c r="E69" s="116"/>
      <c r="F69" s="116"/>
      <c r="G69" s="115"/>
      <c r="H69" s="118" t="s">
        <v>94</v>
      </c>
      <c r="I69" s="440">
        <f>I45+I51+I57+I63</f>
        <v>0</v>
      </c>
      <c r="J69" s="376"/>
      <c r="K69" s="1"/>
      <c r="L69" s="1"/>
      <c r="M69" s="1"/>
      <c r="N69" s="114"/>
      <c r="O69" s="441"/>
      <c r="P69" s="441"/>
      <c r="Q69" s="115"/>
      <c r="R69" s="115"/>
      <c r="S69" s="115"/>
      <c r="T69" s="118" t="s">
        <v>94</v>
      </c>
      <c r="U69" s="440">
        <f>U45+U51+U57+U63</f>
        <v>0</v>
      </c>
      <c r="V69" s="400"/>
      <c r="W69" s="1"/>
      <c r="AT69" s="372"/>
      <c r="AU69" s="373"/>
      <c r="AV69" s="374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  <c r="IS69" s="14"/>
      <c r="IT69" s="14"/>
      <c r="IU69" s="14"/>
      <c r="IV69" s="14"/>
      <c r="IW69" s="14"/>
      <c r="IX69" s="14"/>
      <c r="IY69" s="14"/>
      <c r="IZ69" s="14"/>
      <c r="JA69" s="14"/>
      <c r="JB69" s="14"/>
      <c r="JC69" s="14"/>
      <c r="JD69" s="14"/>
      <c r="JE69" s="14"/>
      <c r="JF69" s="14"/>
      <c r="JG69" s="14"/>
      <c r="JH69" s="14"/>
      <c r="JI69" s="14"/>
      <c r="JJ69" s="14"/>
      <c r="JK69" s="14"/>
      <c r="JL69" s="14"/>
      <c r="JM69" s="14"/>
      <c r="JN69" s="14"/>
      <c r="JO69" s="14"/>
      <c r="JP69" s="14"/>
      <c r="JQ69" s="14"/>
      <c r="JR69" s="14"/>
      <c r="JS69" s="14"/>
      <c r="JT69" s="14"/>
      <c r="JU69" s="14"/>
      <c r="JV69" s="14"/>
      <c r="JW69" s="14"/>
      <c r="JX69" s="14"/>
      <c r="JY69" s="14"/>
      <c r="JZ69" s="14"/>
      <c r="KA69" s="14"/>
      <c r="KB69" s="14"/>
      <c r="KC69" s="14"/>
      <c r="KD69" s="14"/>
      <c r="KE69" s="14"/>
      <c r="KF69" s="14"/>
      <c r="KG69" s="14"/>
      <c r="KH69" s="14"/>
      <c r="KI69" s="14"/>
      <c r="KJ69" s="14"/>
      <c r="KK69" s="14"/>
      <c r="KL69" s="14"/>
      <c r="KM69" s="14"/>
      <c r="KN69" s="14"/>
      <c r="KO69" s="14"/>
      <c r="KP69" s="14"/>
      <c r="KQ69" s="14"/>
      <c r="KR69" s="14"/>
      <c r="KS69" s="14"/>
      <c r="KT69" s="14"/>
      <c r="KU69" s="14"/>
      <c r="KV69" s="14"/>
      <c r="KW69" s="14"/>
      <c r="KX69" s="14"/>
      <c r="KY69" s="14"/>
      <c r="KZ69" s="14"/>
      <c r="LA69" s="14"/>
      <c r="LB69" s="14"/>
      <c r="LC69" s="14"/>
      <c r="LD69" s="14"/>
      <c r="LE69" s="14"/>
      <c r="LF69" s="14"/>
      <c r="LG69" s="14"/>
      <c r="LH69" s="14"/>
      <c r="LI69" s="14"/>
      <c r="LJ69" s="14"/>
      <c r="LK69" s="14"/>
      <c r="LL69" s="14"/>
      <c r="LM69" s="14"/>
      <c r="LN69" s="14"/>
      <c r="LO69" s="14"/>
      <c r="LP69" s="14"/>
      <c r="LQ69" s="14"/>
      <c r="LR69" s="14"/>
      <c r="LS69" s="14"/>
      <c r="LT69" s="14"/>
      <c r="LU69" s="14"/>
      <c r="LV69" s="14"/>
      <c r="LW69" s="14"/>
      <c r="LX69" s="14"/>
      <c r="LY69" s="14"/>
      <c r="LZ69" s="14"/>
    </row>
    <row r="70" spans="2:344" ht="13.5" customHeight="1" x14ac:dyDescent="0.2">
      <c r="B70" s="1"/>
      <c r="C70" s="1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2:344" x14ac:dyDescent="0.2">
      <c r="B71" s="1"/>
      <c r="C71" s="1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AB71" t="s">
        <v>27</v>
      </c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2:344" x14ac:dyDescent="0.2">
      <c r="B72" s="1"/>
      <c r="C72" s="1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2:344" x14ac:dyDescent="0.2">
      <c r="B73" s="1"/>
      <c r="C73" s="1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2:344" x14ac:dyDescent="0.2">
      <c r="B74" s="1"/>
      <c r="C74" s="1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2:344" x14ac:dyDescent="0.2">
      <c r="DZ75" s="438" t="str">
        <f>Entry!D23</f>
        <v>DANIEL E. MALIGAT, JR., DIT</v>
      </c>
      <c r="EA75" s="438"/>
      <c r="EB75" s="438"/>
      <c r="EC75" s="438"/>
      <c r="ED75" s="438"/>
      <c r="EE75" s="438"/>
      <c r="EF75" s="438"/>
      <c r="EG75" s="438"/>
      <c r="EH75" s="438"/>
      <c r="EI75" s="438"/>
      <c r="EJ75" s="438"/>
      <c r="EK75" s="438"/>
      <c r="EL75" s="438"/>
      <c r="EM75" s="438"/>
      <c r="EN75" s="438"/>
      <c r="EO75" s="438"/>
      <c r="EP75" s="438"/>
      <c r="EQ75" s="438"/>
      <c r="ER75" s="438"/>
      <c r="ES75" s="438"/>
      <c r="ET75" s="438"/>
      <c r="EU75" s="438"/>
      <c r="EV75" s="438"/>
      <c r="EW75" s="438"/>
      <c r="EX75" s="438"/>
      <c r="EY75" s="438"/>
      <c r="EZ75" s="438"/>
      <c r="FA75" s="438"/>
      <c r="FB75" s="438"/>
      <c r="FC75" s="438"/>
      <c r="FD75" s="438"/>
      <c r="FE75" s="438"/>
      <c r="FF75" s="438"/>
      <c r="FG75" s="438"/>
      <c r="FH75" s="438"/>
      <c r="FI75" s="438"/>
      <c r="FJ75" s="438"/>
      <c r="FK75" s="438"/>
      <c r="FL75" s="438"/>
      <c r="FM75" s="438"/>
      <c r="FN75" s="438"/>
      <c r="FO75" s="438"/>
      <c r="FP75" s="438"/>
      <c r="FQ75" s="438"/>
      <c r="FR75" s="438"/>
      <c r="FS75" s="438"/>
      <c r="FT75" s="438"/>
      <c r="FU75" s="438"/>
      <c r="FV75" s="438"/>
      <c r="FW75" s="438"/>
      <c r="FX75" s="438"/>
      <c r="FY75" s="438"/>
      <c r="FZ75" s="438"/>
      <c r="GA75" s="438"/>
      <c r="GB75" s="438"/>
      <c r="GC75" s="438"/>
      <c r="GD75" s="438"/>
      <c r="GE75" s="438"/>
      <c r="GF75" s="438"/>
      <c r="GG75" s="438"/>
      <c r="GH75" s="438"/>
      <c r="GI75" s="438"/>
      <c r="GJ75" s="438"/>
      <c r="GK75" s="438"/>
      <c r="GL75" s="438"/>
      <c r="GM75" s="438"/>
      <c r="GN75" s="438"/>
      <c r="GO75" s="438"/>
      <c r="GP75" s="438"/>
      <c r="GQ75" s="438"/>
      <c r="GR75" s="438"/>
      <c r="GS75" s="438"/>
      <c r="GT75" s="438"/>
      <c r="GU75" s="438"/>
      <c r="GV75" s="438"/>
      <c r="GW75" s="438"/>
      <c r="GX75" s="438"/>
      <c r="GY75" s="438"/>
      <c r="GZ75" s="438"/>
      <c r="HA75" s="438"/>
      <c r="HB75" s="438"/>
      <c r="HC75" s="438"/>
      <c r="HD75" s="438"/>
      <c r="HE75" s="438"/>
      <c r="HF75" s="438"/>
      <c r="HG75" s="438"/>
      <c r="HH75" s="438"/>
      <c r="HI75" s="438"/>
      <c r="HJ75" s="438"/>
      <c r="HK75" s="438"/>
      <c r="HL75" s="438"/>
      <c r="HM75" s="438"/>
      <c r="HN75" s="438"/>
      <c r="HO75" s="438"/>
      <c r="HP75" s="438"/>
      <c r="HQ75" s="438"/>
      <c r="HR75" s="438"/>
      <c r="HS75" s="438"/>
      <c r="HT75" s="438"/>
      <c r="HU75" s="438"/>
      <c r="HV75" s="438"/>
      <c r="HW75" s="438"/>
      <c r="HX75" s="438"/>
      <c r="HY75" s="438"/>
      <c r="HZ75" s="438"/>
      <c r="IA75" s="438"/>
      <c r="IB75" s="438"/>
      <c r="IC75" s="438"/>
      <c r="ID75" s="438"/>
      <c r="IE75" s="438"/>
      <c r="IF75" s="438"/>
      <c r="IG75" s="438"/>
      <c r="IH75" s="438"/>
      <c r="II75" s="438"/>
      <c r="IJ75" s="438"/>
      <c r="IK75" s="438"/>
      <c r="IL75" s="438"/>
      <c r="IM75" s="438"/>
      <c r="IN75" s="438"/>
      <c r="IO75" s="438"/>
      <c r="IP75" s="438"/>
      <c r="IQ75" s="438"/>
      <c r="IR75" s="438"/>
      <c r="IS75" s="438"/>
      <c r="IT75" s="438"/>
      <c r="IU75" s="438"/>
      <c r="IV75" s="438"/>
      <c r="IW75" s="438"/>
      <c r="IX75" s="438"/>
      <c r="IY75" s="438"/>
      <c r="IZ75" s="438"/>
      <c r="JA75" s="438"/>
      <c r="JB75" s="438"/>
      <c r="JC75" s="438"/>
      <c r="JD75" s="438"/>
      <c r="JE75" s="438"/>
      <c r="JF75" s="438"/>
      <c r="JG75" s="438"/>
      <c r="JH75" s="438"/>
      <c r="JI75" s="438"/>
      <c r="JJ75" s="438"/>
      <c r="JK75" s="438"/>
      <c r="JL75" s="438"/>
      <c r="JM75" s="438"/>
      <c r="JN75" s="438"/>
      <c r="JO75" s="438"/>
      <c r="JP75" s="438"/>
      <c r="JQ75" s="438"/>
      <c r="JR75" s="438"/>
      <c r="JS75" s="438"/>
      <c r="JT75" s="438"/>
      <c r="JU75" s="438"/>
      <c r="JV75" s="438"/>
      <c r="JW75" s="438"/>
      <c r="JX75" s="438"/>
      <c r="JY75" s="438"/>
      <c r="JZ75" s="438"/>
      <c r="KA75" s="438"/>
      <c r="KB75" s="438"/>
      <c r="KC75" s="438"/>
      <c r="KD75" s="438"/>
      <c r="KE75" s="438"/>
      <c r="KF75" s="438"/>
      <c r="KG75" s="438"/>
      <c r="KH75" s="438"/>
      <c r="KI75" s="438"/>
      <c r="KJ75" s="438"/>
      <c r="KK75" s="438"/>
      <c r="KL75" s="438"/>
      <c r="KM75" s="438"/>
      <c r="KN75" s="438"/>
      <c r="KO75" s="438"/>
      <c r="KP75" s="438"/>
      <c r="KQ75" s="438"/>
      <c r="KR75" s="438"/>
      <c r="KS75" s="438"/>
      <c r="KT75" s="438"/>
      <c r="KU75" s="438"/>
      <c r="KV75" s="438"/>
      <c r="KW75" s="438"/>
      <c r="KX75" s="438"/>
      <c r="KY75" s="438"/>
      <c r="KZ75" s="438"/>
      <c r="LA75" s="438"/>
      <c r="LB75" s="438"/>
      <c r="LC75" s="438"/>
      <c r="LD75" s="438"/>
      <c r="LE75" s="438"/>
      <c r="LF75" s="438"/>
      <c r="LG75" s="438"/>
      <c r="LH75" s="438"/>
      <c r="LI75" s="438"/>
      <c r="LJ75" s="438"/>
      <c r="LK75" s="438"/>
      <c r="LL75" s="438"/>
      <c r="LM75" s="438"/>
      <c r="LN75" s="438"/>
      <c r="LO75" s="438"/>
      <c r="LP75" s="438"/>
      <c r="LQ75" s="438"/>
      <c r="LR75" s="438"/>
      <c r="LS75" s="438"/>
      <c r="LT75" s="438"/>
      <c r="LU75" s="438"/>
      <c r="LV75" s="438"/>
      <c r="LW75" s="438"/>
      <c r="LX75" s="438"/>
      <c r="LY75" s="438"/>
      <c r="LZ75" s="438"/>
      <c r="MA75" s="438"/>
      <c r="MB75" s="438"/>
      <c r="MC75" s="438"/>
      <c r="MD75" s="438"/>
      <c r="ME75" s="438"/>
      <c r="MF75" s="438"/>
    </row>
    <row r="76" spans="2:344" x14ac:dyDescent="0.2">
      <c r="DZ76" s="439" t="str">
        <f>Entry!D24</f>
        <v>DEAN</v>
      </c>
      <c r="EA76" s="439"/>
      <c r="EB76" s="439"/>
      <c r="EC76" s="439"/>
      <c r="ED76" s="439"/>
      <c r="EE76" s="439"/>
      <c r="EF76" s="439"/>
      <c r="EG76" s="439"/>
      <c r="EH76" s="439"/>
      <c r="EI76" s="439"/>
      <c r="EJ76" s="439"/>
      <c r="EK76" s="439"/>
      <c r="EL76" s="439"/>
      <c r="EM76" s="439"/>
      <c r="EN76" s="439"/>
      <c r="EO76" s="439"/>
      <c r="EP76" s="439"/>
      <c r="EQ76" s="439"/>
      <c r="ER76" s="439"/>
      <c r="ES76" s="439"/>
      <c r="ET76" s="439"/>
      <c r="EU76" s="439"/>
      <c r="EV76" s="439"/>
      <c r="EW76" s="439"/>
      <c r="EX76" s="439"/>
      <c r="EY76" s="439"/>
      <c r="EZ76" s="439"/>
      <c r="FA76" s="439"/>
      <c r="FB76" s="439"/>
      <c r="FC76" s="439"/>
      <c r="FD76" s="439"/>
      <c r="FE76" s="439"/>
      <c r="FF76" s="439"/>
      <c r="FG76" s="439"/>
      <c r="FH76" s="439"/>
      <c r="FI76" s="439"/>
      <c r="FJ76" s="439"/>
      <c r="FK76" s="439"/>
      <c r="FL76" s="439"/>
      <c r="FM76" s="439"/>
      <c r="FN76" s="439"/>
      <c r="FO76" s="439"/>
      <c r="FP76" s="439"/>
      <c r="FQ76" s="439"/>
      <c r="FR76" s="439"/>
      <c r="FS76" s="439"/>
      <c r="FT76" s="439"/>
      <c r="FU76" s="439"/>
      <c r="FV76" s="439"/>
      <c r="FW76" s="439"/>
      <c r="FX76" s="439"/>
      <c r="FY76" s="439"/>
      <c r="FZ76" s="439"/>
      <c r="GA76" s="439"/>
      <c r="GB76" s="439"/>
      <c r="GC76" s="439"/>
      <c r="GD76" s="439"/>
      <c r="GE76" s="439"/>
      <c r="GF76" s="439"/>
      <c r="GG76" s="439"/>
      <c r="GH76" s="439"/>
      <c r="GI76" s="439"/>
      <c r="GJ76" s="439"/>
      <c r="GK76" s="439"/>
      <c r="GL76" s="439"/>
      <c r="GM76" s="439"/>
      <c r="GN76" s="439"/>
      <c r="GO76" s="439"/>
      <c r="GP76" s="439"/>
      <c r="GQ76" s="439"/>
      <c r="GR76" s="439"/>
      <c r="GS76" s="439"/>
      <c r="GT76" s="439"/>
      <c r="GU76" s="439"/>
      <c r="GV76" s="439"/>
      <c r="GW76" s="439"/>
      <c r="GX76" s="439"/>
      <c r="GY76" s="439"/>
      <c r="GZ76" s="439"/>
      <c r="HA76" s="439"/>
      <c r="HB76" s="439"/>
      <c r="HC76" s="439"/>
      <c r="HD76" s="439"/>
      <c r="HE76" s="439"/>
      <c r="HF76" s="439"/>
      <c r="HG76" s="439"/>
      <c r="HH76" s="439"/>
      <c r="HI76" s="439"/>
      <c r="HJ76" s="439"/>
      <c r="HK76" s="439"/>
      <c r="HL76" s="439"/>
      <c r="HM76" s="439"/>
      <c r="HN76" s="439"/>
      <c r="HO76" s="439"/>
      <c r="HP76" s="439"/>
      <c r="HQ76" s="439"/>
      <c r="HR76" s="439"/>
      <c r="HS76" s="439"/>
      <c r="HT76" s="439"/>
      <c r="HU76" s="439"/>
      <c r="HV76" s="439"/>
      <c r="HW76" s="439"/>
      <c r="HX76" s="439"/>
      <c r="HY76" s="439"/>
      <c r="HZ76" s="439"/>
      <c r="IA76" s="439"/>
      <c r="IB76" s="439"/>
      <c r="IC76" s="439"/>
      <c r="ID76" s="439"/>
      <c r="IE76" s="439"/>
      <c r="IF76" s="439"/>
      <c r="IG76" s="439"/>
      <c r="IH76" s="439"/>
      <c r="II76" s="439"/>
      <c r="IJ76" s="439"/>
      <c r="IK76" s="439"/>
      <c r="IL76" s="439"/>
      <c r="IM76" s="439"/>
      <c r="IN76" s="439"/>
      <c r="IO76" s="439"/>
      <c r="IP76" s="439"/>
      <c r="IQ76" s="439"/>
      <c r="IR76" s="439"/>
      <c r="IS76" s="439"/>
      <c r="IT76" s="439"/>
      <c r="IU76" s="439"/>
      <c r="IV76" s="439"/>
      <c r="IW76" s="439"/>
      <c r="IX76" s="439"/>
      <c r="IY76" s="439"/>
      <c r="IZ76" s="439"/>
      <c r="JA76" s="439"/>
      <c r="JB76" s="439"/>
      <c r="JC76" s="439"/>
      <c r="JD76" s="439"/>
      <c r="JE76" s="439"/>
      <c r="JF76" s="439"/>
      <c r="JG76" s="439"/>
      <c r="JH76" s="439"/>
      <c r="JI76" s="439"/>
      <c r="JJ76" s="439"/>
      <c r="JK76" s="439"/>
      <c r="JL76" s="439"/>
      <c r="JM76" s="439"/>
      <c r="JN76" s="439"/>
      <c r="JO76" s="439"/>
      <c r="JP76" s="439"/>
      <c r="JQ76" s="439"/>
      <c r="JR76" s="439"/>
      <c r="JS76" s="439"/>
      <c r="JT76" s="439"/>
      <c r="JU76" s="439"/>
      <c r="JV76" s="439"/>
      <c r="JW76" s="439"/>
      <c r="JX76" s="439"/>
      <c r="JY76" s="439"/>
      <c r="JZ76" s="439"/>
      <c r="KA76" s="439"/>
      <c r="KB76" s="439"/>
      <c r="KC76" s="439"/>
      <c r="KD76" s="439"/>
      <c r="KE76" s="439"/>
      <c r="KF76" s="439"/>
      <c r="KG76" s="439"/>
      <c r="KH76" s="439"/>
      <c r="KI76" s="439"/>
      <c r="KJ76" s="439"/>
      <c r="KK76" s="439"/>
      <c r="KL76" s="439"/>
      <c r="KM76" s="439"/>
      <c r="KN76" s="439"/>
      <c r="KO76" s="439"/>
      <c r="KP76" s="439"/>
      <c r="KQ76" s="439"/>
      <c r="KR76" s="439"/>
      <c r="KS76" s="439"/>
      <c r="KT76" s="439"/>
      <c r="KU76" s="439"/>
      <c r="KV76" s="439"/>
      <c r="KW76" s="439"/>
      <c r="KX76" s="439"/>
      <c r="KY76" s="439"/>
      <c r="KZ76" s="439"/>
      <c r="LA76" s="439"/>
      <c r="LB76" s="439"/>
      <c r="LC76" s="439"/>
      <c r="LD76" s="439"/>
      <c r="LE76" s="439"/>
      <c r="LF76" s="439"/>
      <c r="LG76" s="439"/>
      <c r="LH76" s="439"/>
      <c r="LI76" s="439"/>
      <c r="LJ76" s="439"/>
      <c r="LK76" s="439"/>
      <c r="LL76" s="439"/>
      <c r="LM76" s="439"/>
      <c r="LN76" s="439"/>
      <c r="LO76" s="439"/>
      <c r="LP76" s="439"/>
      <c r="LQ76" s="439"/>
      <c r="LR76" s="439"/>
      <c r="LS76" s="439"/>
      <c r="LT76" s="439"/>
      <c r="LU76" s="439"/>
      <c r="LV76" s="439"/>
      <c r="LW76" s="439"/>
      <c r="LX76" s="439"/>
      <c r="LY76" s="439"/>
      <c r="LZ76" s="439"/>
      <c r="MA76" s="439"/>
      <c r="MB76" s="439"/>
      <c r="MC76" s="439"/>
      <c r="MD76" s="439"/>
      <c r="ME76" s="439"/>
      <c r="MF76" s="439"/>
    </row>
  </sheetData>
  <mergeCells count="321">
    <mergeCell ref="MO8:MT8"/>
    <mergeCell ref="MG9:MT9"/>
    <mergeCell ref="MM11:MN11"/>
    <mergeCell ref="MM17:MN17"/>
    <mergeCell ref="MM23:MN23"/>
    <mergeCell ref="MM29:MN29"/>
    <mergeCell ref="MC8:MN8"/>
    <mergeCell ref="MO11:MP11"/>
    <mergeCell ref="Y67:Z67"/>
    <mergeCell ref="DC39:DM39"/>
    <mergeCell ref="Y42:Z43"/>
    <mergeCell ref="AA42:AD42"/>
    <mergeCell ref="AI43:AJ43"/>
    <mergeCell ref="AE43:AF43"/>
    <mergeCell ref="AA43:AB43"/>
    <mergeCell ref="B17:DG17"/>
    <mergeCell ref="DJ36:DK36"/>
    <mergeCell ref="DH23:DI23"/>
    <mergeCell ref="B35:C35"/>
    <mergeCell ref="Y46:Z46"/>
    <mergeCell ref="Y47:Z47"/>
    <mergeCell ref="AG46:AH46"/>
    <mergeCell ref="AC46:AD46"/>
    <mergeCell ref="AC45:AD45"/>
    <mergeCell ref="G68:H68"/>
    <mergeCell ref="G65:H65"/>
    <mergeCell ref="G66:H66"/>
    <mergeCell ref="I45:J45"/>
    <mergeCell ref="G45:H45"/>
    <mergeCell ref="Q48:R48"/>
    <mergeCell ref="G67:H67"/>
    <mergeCell ref="G48:H48"/>
    <mergeCell ref="G49:H49"/>
    <mergeCell ref="G47:H47"/>
    <mergeCell ref="Q46:R46"/>
    <mergeCell ref="G64:H64"/>
    <mergeCell ref="G63:H63"/>
    <mergeCell ref="I51:J51"/>
    <mergeCell ref="G52:H52"/>
    <mergeCell ref="G60:H60"/>
    <mergeCell ref="G51:H51"/>
    <mergeCell ref="G53:H53"/>
    <mergeCell ref="G56:H56"/>
    <mergeCell ref="G55:H55"/>
    <mergeCell ref="G57:H57"/>
    <mergeCell ref="I63:J63"/>
    <mergeCell ref="I57:J57"/>
    <mergeCell ref="G62:H62"/>
    <mergeCell ref="MO36:MP36"/>
    <mergeCell ref="MC35:MD35"/>
    <mergeCell ref="ME9:MF9"/>
    <mergeCell ref="MO17:MP17"/>
    <mergeCell ref="MO23:MP23"/>
    <mergeCell ref="MO29:MP29"/>
    <mergeCell ref="MC17:MK17"/>
    <mergeCell ref="MC23:MK23"/>
    <mergeCell ref="B23:DG23"/>
    <mergeCell ref="MD9:MD10"/>
    <mergeCell ref="DZ75:MF75"/>
    <mergeCell ref="DZ76:MF76"/>
    <mergeCell ref="U69:V69"/>
    <mergeCell ref="I69:J69"/>
    <mergeCell ref="O69:P69"/>
    <mergeCell ref="AE68:AF68"/>
    <mergeCell ref="AG68:AH68"/>
    <mergeCell ref="AI68:AJ68"/>
    <mergeCell ref="S49:T49"/>
    <mergeCell ref="Q49:R49"/>
    <mergeCell ref="S51:T51"/>
    <mergeCell ref="U51:V51"/>
    <mergeCell ref="Q52:R52"/>
    <mergeCell ref="S52:T52"/>
    <mergeCell ref="U57:V57"/>
    <mergeCell ref="Q50:R50"/>
    <mergeCell ref="S50:T50"/>
    <mergeCell ref="Y49:Z49"/>
    <mergeCell ref="AE67:AF67"/>
    <mergeCell ref="AC63:AD63"/>
    <mergeCell ref="AC64:AD64"/>
    <mergeCell ref="Y66:Z66"/>
    <mergeCell ref="AA67:AB67"/>
    <mergeCell ref="AA66:AB66"/>
    <mergeCell ref="U42:V42"/>
    <mergeCell ref="U45:V45"/>
    <mergeCell ref="S44:T44"/>
    <mergeCell ref="B43:B44"/>
    <mergeCell ref="C43:D44"/>
    <mergeCell ref="I42:J42"/>
    <mergeCell ref="N42:T42"/>
    <mergeCell ref="O43:P44"/>
    <mergeCell ref="Q44:R44"/>
    <mergeCell ref="Q43:T43"/>
    <mergeCell ref="N43:N44"/>
    <mergeCell ref="G44:H44"/>
    <mergeCell ref="S45:T45"/>
    <mergeCell ref="S48:T48"/>
    <mergeCell ref="G46:H46"/>
    <mergeCell ref="S46:T46"/>
    <mergeCell ref="Q47:R47"/>
    <mergeCell ref="S47:T47"/>
    <mergeCell ref="Q68:R68"/>
    <mergeCell ref="S68:T68"/>
    <mergeCell ref="Q65:R65"/>
    <mergeCell ref="S65:T65"/>
    <mergeCell ref="Q66:R66"/>
    <mergeCell ref="S66:T66"/>
    <mergeCell ref="Q58:R58"/>
    <mergeCell ref="S58:T58"/>
    <mergeCell ref="Q53:R53"/>
    <mergeCell ref="S53:T53"/>
    <mergeCell ref="Q56:R56"/>
    <mergeCell ref="S56:T56"/>
    <mergeCell ref="Q54:R54"/>
    <mergeCell ref="S54:T54"/>
    <mergeCell ref="Q55:R55"/>
    <mergeCell ref="S55:T55"/>
    <mergeCell ref="G61:H61"/>
    <mergeCell ref="G58:H58"/>
    <mergeCell ref="G59:H59"/>
    <mergeCell ref="B1:MO1"/>
    <mergeCell ref="B2:MO2"/>
    <mergeCell ref="B3:MO3"/>
    <mergeCell ref="B5:MO5"/>
    <mergeCell ref="MC29:MK29"/>
    <mergeCell ref="MG6:MO6"/>
    <mergeCell ref="MG39:MO39"/>
    <mergeCell ref="MC11:MK11"/>
    <mergeCell ref="DJ11:DK11"/>
    <mergeCell ref="B8:DI8"/>
    <mergeCell ref="DJ8:DK8"/>
    <mergeCell ref="DC9:EF9"/>
    <mergeCell ref="DC6:DM6"/>
    <mergeCell ref="B11:DG11"/>
    <mergeCell ref="D9:E9"/>
    <mergeCell ref="B9:B10"/>
    <mergeCell ref="C9:C10"/>
    <mergeCell ref="DJ17:DK17"/>
    <mergeCell ref="DJ23:DK23"/>
    <mergeCell ref="DJ29:DK29"/>
    <mergeCell ref="DH17:DI17"/>
    <mergeCell ref="DH11:DI11"/>
    <mergeCell ref="DH29:DI29"/>
    <mergeCell ref="B29:DG29"/>
    <mergeCell ref="AT41:AV41"/>
    <mergeCell ref="AQ41:AS41"/>
    <mergeCell ref="AQ42:AS42"/>
    <mergeCell ref="AT42:AV42"/>
    <mergeCell ref="AK42:AL42"/>
    <mergeCell ref="AK43:AL43"/>
    <mergeCell ref="AE45:AF45"/>
    <mergeCell ref="AG42:AH42"/>
    <mergeCell ref="AG43:AH43"/>
    <mergeCell ref="AG45:AH45"/>
    <mergeCell ref="AT44:AV44"/>
    <mergeCell ref="AK44:AL44"/>
    <mergeCell ref="AK45:AL45"/>
    <mergeCell ref="AQ44:AS44"/>
    <mergeCell ref="AN41:AP42"/>
    <mergeCell ref="Y45:Z45"/>
    <mergeCell ref="AC43:AD43"/>
    <mergeCell ref="AE42:AF42"/>
    <mergeCell ref="AI42:AJ42"/>
    <mergeCell ref="Y48:Z48"/>
    <mergeCell ref="Y51:Z51"/>
    <mergeCell ref="Y52:Z52"/>
    <mergeCell ref="AC61:AD61"/>
    <mergeCell ref="AA61:AB61"/>
    <mergeCell ref="AC53:AD53"/>
    <mergeCell ref="AA60:AB60"/>
    <mergeCell ref="AA53:AB53"/>
    <mergeCell ref="Y61:Z61"/>
    <mergeCell ref="AE46:AF46"/>
    <mergeCell ref="AE49:AF49"/>
    <mergeCell ref="AC54:AD54"/>
    <mergeCell ref="AC60:AD60"/>
    <mergeCell ref="AC57:AD57"/>
    <mergeCell ref="AC58:AD58"/>
    <mergeCell ref="Y53:Z53"/>
    <mergeCell ref="AI45:AJ45"/>
    <mergeCell ref="AI46:AJ46"/>
    <mergeCell ref="AI54:AJ54"/>
    <mergeCell ref="AC49:AD49"/>
    <mergeCell ref="AT50:AV50"/>
    <mergeCell ref="AK51:AL51"/>
    <mergeCell ref="AK52:AL52"/>
    <mergeCell ref="AO50:AP50"/>
    <mergeCell ref="AI47:AJ47"/>
    <mergeCell ref="AK49:AL49"/>
    <mergeCell ref="AK50:AL50"/>
    <mergeCell ref="AI50:AJ50"/>
    <mergeCell ref="AK48:AL48"/>
    <mergeCell ref="AI48:AJ48"/>
    <mergeCell ref="AI51:AJ51"/>
    <mergeCell ref="AK47:AL47"/>
    <mergeCell ref="AQ50:AS50"/>
    <mergeCell ref="AI52:AJ52"/>
    <mergeCell ref="AK46:AL46"/>
    <mergeCell ref="AO44:AP44"/>
    <mergeCell ref="AI44:AJ44"/>
    <mergeCell ref="AI67:AJ67"/>
    <mergeCell ref="AI63:AJ63"/>
    <mergeCell ref="AI64:AJ64"/>
    <mergeCell ref="AI49:AJ49"/>
    <mergeCell ref="AA45:AB45"/>
    <mergeCell ref="AA46:AB46"/>
    <mergeCell ref="AG48:AH48"/>
    <mergeCell ref="AA47:AB47"/>
    <mergeCell ref="AC47:AD47"/>
    <mergeCell ref="AE47:AF47"/>
    <mergeCell ref="AG47:AH47"/>
    <mergeCell ref="AA48:AB48"/>
    <mergeCell ref="AC48:AD48"/>
    <mergeCell ref="AE48:AF48"/>
    <mergeCell ref="AG58:AH58"/>
    <mergeCell ref="AI53:AJ53"/>
    <mergeCell ref="AI60:AJ60"/>
    <mergeCell ref="AG57:AH57"/>
    <mergeCell ref="AI61:AJ61"/>
    <mergeCell ref="AI58:AJ58"/>
    <mergeCell ref="AG67:AH67"/>
    <mergeCell ref="AT68:AV69"/>
    <mergeCell ref="AK54:AL54"/>
    <mergeCell ref="AT62:AV62"/>
    <mergeCell ref="AK60:AL60"/>
    <mergeCell ref="AK66:AL66"/>
    <mergeCell ref="AK65:AL65"/>
    <mergeCell ref="AK63:AL63"/>
    <mergeCell ref="AK61:AL61"/>
    <mergeCell ref="AT56:AV56"/>
    <mergeCell ref="AO56:AP56"/>
    <mergeCell ref="AK64:AL64"/>
    <mergeCell ref="AK57:AL57"/>
    <mergeCell ref="AK58:AL58"/>
    <mergeCell ref="AK59:AL59"/>
    <mergeCell ref="AK67:AL67"/>
    <mergeCell ref="AK55:AL55"/>
    <mergeCell ref="AK56:AL56"/>
    <mergeCell ref="AK62:AL62"/>
    <mergeCell ref="AO62:AP62"/>
    <mergeCell ref="AQ56:AS56"/>
    <mergeCell ref="AQ62:AS62"/>
    <mergeCell ref="AK68:AL68"/>
    <mergeCell ref="S62:T62"/>
    <mergeCell ref="Y55:Z55"/>
    <mergeCell ref="Y59:Z59"/>
    <mergeCell ref="AI65:AJ65"/>
    <mergeCell ref="AI66:AJ66"/>
    <mergeCell ref="AI62:AJ62"/>
    <mergeCell ref="AA63:AB63"/>
    <mergeCell ref="AA64:AB64"/>
    <mergeCell ref="AA65:AB65"/>
    <mergeCell ref="AC65:AD65"/>
    <mergeCell ref="Y57:Z57"/>
    <mergeCell ref="Y58:Z58"/>
    <mergeCell ref="Y63:Z63"/>
    <mergeCell ref="Y60:Z60"/>
    <mergeCell ref="Y65:Z65"/>
    <mergeCell ref="Y64:Z64"/>
    <mergeCell ref="AC66:AD66"/>
    <mergeCell ref="AI55:AJ55"/>
    <mergeCell ref="AI56:AJ56"/>
    <mergeCell ref="AI57:AJ57"/>
    <mergeCell ref="AK53:AL53"/>
    <mergeCell ref="AI59:AJ59"/>
    <mergeCell ref="AC52:AD52"/>
    <mergeCell ref="AG52:AH52"/>
    <mergeCell ref="AG54:AH54"/>
    <mergeCell ref="AG59:AH59"/>
    <mergeCell ref="AE52:AF52"/>
    <mergeCell ref="AE55:AF55"/>
    <mergeCell ref="AA51:AB51"/>
    <mergeCell ref="AG55:AH55"/>
    <mergeCell ref="AC55:AD55"/>
    <mergeCell ref="G50:H50"/>
    <mergeCell ref="G54:H54"/>
    <mergeCell ref="AG51:AH51"/>
    <mergeCell ref="AG60:AH60"/>
    <mergeCell ref="AE61:AF61"/>
    <mergeCell ref="Y54:Z54"/>
    <mergeCell ref="AA49:AB49"/>
    <mergeCell ref="AG65:AH65"/>
    <mergeCell ref="AG63:AH63"/>
    <mergeCell ref="AC51:AD51"/>
    <mergeCell ref="AA59:AB59"/>
    <mergeCell ref="AE54:AF54"/>
    <mergeCell ref="AG53:AH53"/>
    <mergeCell ref="Q64:R64"/>
    <mergeCell ref="S64:T64"/>
    <mergeCell ref="AA58:AB58"/>
    <mergeCell ref="AE51:AF51"/>
    <mergeCell ref="AA57:AB57"/>
    <mergeCell ref="AE57:AF57"/>
    <mergeCell ref="AE59:AF59"/>
    <mergeCell ref="AG61:AH61"/>
    <mergeCell ref="AA52:AB52"/>
    <mergeCell ref="AC59:AD59"/>
    <mergeCell ref="U63:V63"/>
    <mergeCell ref="Q67:R67"/>
    <mergeCell ref="S67:T67"/>
    <mergeCell ref="Q59:R59"/>
    <mergeCell ref="S59:T59"/>
    <mergeCell ref="Q60:R60"/>
    <mergeCell ref="S60:T60"/>
    <mergeCell ref="AC67:AD67"/>
    <mergeCell ref="S63:T63"/>
    <mergeCell ref="AG49:AH49"/>
    <mergeCell ref="AA55:AB55"/>
    <mergeCell ref="AA54:AB54"/>
    <mergeCell ref="AE53:AF53"/>
    <mergeCell ref="AE66:AF66"/>
    <mergeCell ref="AG66:AH66"/>
    <mergeCell ref="AE63:AF63"/>
    <mergeCell ref="AE58:AF58"/>
    <mergeCell ref="AE64:AF64"/>
    <mergeCell ref="AE65:AF65"/>
    <mergeCell ref="AG64:AH64"/>
    <mergeCell ref="AE60:AF60"/>
    <mergeCell ref="S57:T57"/>
    <mergeCell ref="Q61:R61"/>
    <mergeCell ref="S61:T61"/>
    <mergeCell ref="Q62:R62"/>
  </mergeCells>
  <phoneticPr fontId="0" type="noConversion"/>
  <conditionalFormatting sqref="MG35:MU35 AE68:AX68 I69:J69 U69:V69 EW69:LZ69">
    <cfRule type="cellIs" dxfId="0" priority="1" stopIfTrue="1" operator="equal">
      <formula>100</formula>
    </cfRule>
  </conditionalFormatting>
  <dataValidations count="1">
    <dataValidation type="whole" allowBlank="1" showInputMessage="1" showErrorMessage="1" errorTitle="Invalid Data" error="Whole number 1 to 5 only." sqref="DT24:DT28 EK12:LZ16 MG12:MU16 DT18:DT22 O64:P68 DT12:DT16 MG30:MU34 EH24:LZ28 C46:D50 C52:D56 C58:D62 C64:D68 O58:P62 O46:P50 O52:P56 MG18:MU22 MG24:MU28 DT30:DT34 EH18:LZ22 DZ12:EC16 DZ18:EC22 DZ24:EC28 DZ30:EC34 EH12:EH16 EH30:LZ34" xr:uid="{00000000-0002-0000-0200-000000000000}">
      <formula1>1</formula1>
      <formula2>5</formula2>
    </dataValidation>
  </dataValidations>
  <printOptions verticalCentered="1"/>
  <pageMargins left="0.5" right="0.25" top="0.5" bottom="0.75" header="0.5" footer="0.5"/>
  <pageSetup paperSize="5" scale="82" orientation="landscape" blackAndWhite="1" horizontalDpi="4294967295" verticalDpi="144" r:id="rId1"/>
  <headerFooter alignWithMargins="0"/>
  <rowBreaks count="1" manualBreakCount="1">
    <brk id="38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L60"/>
  <sheetViews>
    <sheetView showZeros="0" zoomScale="96" zoomScaleNormal="96" workbookViewId="0">
      <selection activeCell="H25" sqref="H25"/>
    </sheetView>
  </sheetViews>
  <sheetFormatPr defaultRowHeight="12.75" x14ac:dyDescent="0.2"/>
  <cols>
    <col min="1" max="2" width="2.85546875" customWidth="1"/>
    <col min="3" max="3" width="3.42578125" customWidth="1"/>
    <col min="5" max="5" width="19.85546875" customWidth="1"/>
    <col min="6" max="6" width="9.140625" customWidth="1"/>
    <col min="7" max="7" width="4.85546875" customWidth="1"/>
    <col min="8" max="8" width="9.140625" customWidth="1"/>
    <col min="9" max="9" width="4.85546875" customWidth="1"/>
    <col min="10" max="10" width="9.140625" customWidth="1"/>
    <col min="11" max="11" width="4.85546875" customWidth="1"/>
    <col min="12" max="12" width="9.140625" customWidth="1"/>
  </cols>
  <sheetData>
    <row r="1" spans="1:12" x14ac:dyDescent="0.2">
      <c r="A1" s="353" t="s">
        <v>0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</row>
    <row r="2" spans="1:12" x14ac:dyDescent="0.2">
      <c r="A2" s="353" t="s">
        <v>1</v>
      </c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</row>
    <row r="3" spans="1:12" x14ac:dyDescent="0.2">
      <c r="A3" s="353" t="s">
        <v>2</v>
      </c>
      <c r="B3" s="353"/>
      <c r="C3" s="353"/>
      <c r="D3" s="353"/>
      <c r="E3" s="353"/>
      <c r="F3" s="353"/>
      <c r="G3" s="353"/>
      <c r="H3" s="353"/>
      <c r="I3" s="353"/>
      <c r="J3" s="353"/>
      <c r="K3" s="353"/>
      <c r="L3" s="353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6" spans="1:12" x14ac:dyDescent="0.2">
      <c r="A6" s="350" t="s">
        <v>141</v>
      </c>
      <c r="B6" s="350"/>
      <c r="C6" s="350"/>
      <c r="D6" s="350"/>
      <c r="E6" s="350"/>
      <c r="F6" s="350"/>
      <c r="G6" s="350"/>
      <c r="H6" s="350"/>
      <c r="I6" s="350"/>
      <c r="J6" s="350"/>
      <c r="K6" s="350"/>
      <c r="L6" s="350"/>
    </row>
    <row r="7" spans="1:12" x14ac:dyDescent="0.2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</row>
    <row r="9" spans="1:12" x14ac:dyDescent="0.2">
      <c r="A9" t="s">
        <v>142</v>
      </c>
      <c r="D9" s="451" t="str">
        <f>TI!DC6</f>
        <v xml:space="preserve">,  </v>
      </c>
      <c r="E9" s="451"/>
      <c r="F9" s="451"/>
      <c r="H9" t="s">
        <v>4</v>
      </c>
      <c r="J9" s="438"/>
      <c r="K9" s="438"/>
      <c r="L9" s="438"/>
    </row>
    <row r="10" spans="1:12" x14ac:dyDescent="0.2">
      <c r="A10" t="s">
        <v>143</v>
      </c>
      <c r="D10" s="452">
        <f>Entry!D19</f>
        <v>0</v>
      </c>
      <c r="E10" s="452"/>
      <c r="F10" s="452"/>
      <c r="H10" t="s">
        <v>144</v>
      </c>
      <c r="J10" s="452">
        <f>Entry!D20</f>
        <v>0</v>
      </c>
      <c r="K10" s="452"/>
      <c r="L10" s="452"/>
    </row>
    <row r="12" spans="1:12" x14ac:dyDescent="0.2">
      <c r="A12" t="s">
        <v>145</v>
      </c>
      <c r="E12" s="275">
        <v>0.7</v>
      </c>
      <c r="F12" t="s">
        <v>35</v>
      </c>
      <c r="H12" t="s">
        <v>35</v>
      </c>
      <c r="J12" t="s">
        <v>35</v>
      </c>
      <c r="L12" t="s">
        <v>146</v>
      </c>
    </row>
    <row r="13" spans="1:12" x14ac:dyDescent="0.2">
      <c r="H13" t="s">
        <v>147</v>
      </c>
      <c r="J13" t="s">
        <v>148</v>
      </c>
      <c r="L13" t="s">
        <v>149</v>
      </c>
    </row>
    <row r="14" spans="1:12" x14ac:dyDescent="0.2">
      <c r="B14" t="s">
        <v>150</v>
      </c>
    </row>
    <row r="15" spans="1:12" x14ac:dyDescent="0.2">
      <c r="C15" t="s">
        <v>151</v>
      </c>
      <c r="F15" s="276" t="e">
        <f>TI!DJ36</f>
        <v>#DIV/0!</v>
      </c>
      <c r="H15" s="277" t="e">
        <f>F15/10</f>
        <v>#DIV/0!</v>
      </c>
      <c r="J15" s="278">
        <v>0.25</v>
      </c>
      <c r="L15" s="277" t="e">
        <f>H15*J15</f>
        <v>#DIV/0!</v>
      </c>
    </row>
    <row r="16" spans="1:12" x14ac:dyDescent="0.2">
      <c r="C16" t="s">
        <v>152</v>
      </c>
      <c r="F16" s="276" t="e">
        <f>TI!MO36</f>
        <v>#DIV/0!</v>
      </c>
      <c r="H16" s="277" t="e">
        <f>F16/10</f>
        <v>#DIV/0!</v>
      </c>
      <c r="J16" s="278">
        <v>0.15</v>
      </c>
      <c r="L16" s="277" t="e">
        <f>H16*J16</f>
        <v>#DIV/0!</v>
      </c>
    </row>
    <row r="17" spans="1:12" x14ac:dyDescent="0.2">
      <c r="C17" t="s">
        <v>153</v>
      </c>
      <c r="F17" s="276">
        <f>TI!U69</f>
        <v>0</v>
      </c>
      <c r="H17" s="279">
        <f>F17/10</f>
        <v>0</v>
      </c>
      <c r="J17" s="278">
        <v>0.15</v>
      </c>
      <c r="L17" s="277">
        <f>H17*J17</f>
        <v>0</v>
      </c>
    </row>
    <row r="18" spans="1:12" x14ac:dyDescent="0.2">
      <c r="F18" s="14"/>
      <c r="H18" s="280"/>
      <c r="J18" s="278"/>
      <c r="L18" s="280"/>
    </row>
    <row r="19" spans="1:12" x14ac:dyDescent="0.2">
      <c r="B19" t="s">
        <v>154</v>
      </c>
      <c r="F19" s="257"/>
      <c r="H19" s="277">
        <f>F19/10</f>
        <v>0</v>
      </c>
      <c r="J19" s="278">
        <v>0.05</v>
      </c>
      <c r="L19" s="277">
        <f>H19*J19</f>
        <v>0</v>
      </c>
    </row>
    <row r="20" spans="1:12" x14ac:dyDescent="0.2">
      <c r="B20" t="s">
        <v>155</v>
      </c>
      <c r="F20" s="257"/>
      <c r="H20" s="277">
        <f>F20/10</f>
        <v>0</v>
      </c>
      <c r="J20" s="278">
        <v>0.05</v>
      </c>
      <c r="L20" s="277">
        <f>H20*J20</f>
        <v>0</v>
      </c>
    </row>
    <row r="21" spans="1:12" x14ac:dyDescent="0.2">
      <c r="B21" t="s">
        <v>156</v>
      </c>
      <c r="F21" s="257"/>
      <c r="H21" s="277">
        <f>F21/10</f>
        <v>0</v>
      </c>
      <c r="J21" s="278">
        <v>0.05</v>
      </c>
      <c r="L21" s="277">
        <f>H21*J21</f>
        <v>0</v>
      </c>
    </row>
    <row r="22" spans="1:12" x14ac:dyDescent="0.2">
      <c r="H22" s="280"/>
      <c r="J22" s="278"/>
      <c r="L22" s="280"/>
    </row>
    <row r="23" spans="1:12" x14ac:dyDescent="0.2">
      <c r="A23" t="s">
        <v>157</v>
      </c>
      <c r="E23" s="275">
        <v>0.3</v>
      </c>
      <c r="H23" s="280"/>
      <c r="J23" s="278"/>
      <c r="L23" s="280"/>
    </row>
    <row r="24" spans="1:12" x14ac:dyDescent="0.2">
      <c r="H24" s="280"/>
      <c r="J24" s="278"/>
      <c r="L24" s="280"/>
    </row>
    <row r="25" spans="1:12" x14ac:dyDescent="0.2">
      <c r="B25" t="s">
        <v>158</v>
      </c>
      <c r="H25" s="258">
        <v>8</v>
      </c>
      <c r="J25" s="322">
        <v>7.4999999999999997E-2</v>
      </c>
      <c r="L25" s="276">
        <f t="shared" ref="L25:L30" si="0">H25*J25</f>
        <v>0.6</v>
      </c>
    </row>
    <row r="26" spans="1:12" x14ac:dyDescent="0.2">
      <c r="B26" t="s">
        <v>159</v>
      </c>
      <c r="H26" s="258">
        <v>8</v>
      </c>
      <c r="J26" s="322">
        <v>7.4999999999999997E-2</v>
      </c>
      <c r="L26" s="276">
        <f t="shared" si="0"/>
        <v>0.6</v>
      </c>
    </row>
    <row r="27" spans="1:12" x14ac:dyDescent="0.2">
      <c r="B27" t="s">
        <v>160</v>
      </c>
      <c r="H27" s="258">
        <v>8</v>
      </c>
      <c r="J27" s="322">
        <v>7.4999999999999997E-2</v>
      </c>
      <c r="L27" s="276">
        <f t="shared" si="0"/>
        <v>0.6</v>
      </c>
    </row>
    <row r="28" spans="1:12" x14ac:dyDescent="0.2">
      <c r="B28" t="s">
        <v>161</v>
      </c>
      <c r="H28" s="258">
        <v>8</v>
      </c>
      <c r="J28" s="322">
        <v>7.4999999999999997E-2</v>
      </c>
      <c r="L28" s="276">
        <f t="shared" si="0"/>
        <v>0.6</v>
      </c>
    </row>
    <row r="29" spans="1:12" x14ac:dyDescent="0.2">
      <c r="B29" t="s">
        <v>162</v>
      </c>
      <c r="H29" s="258"/>
      <c r="J29" s="278">
        <v>0.05</v>
      </c>
      <c r="L29" s="276">
        <f t="shared" si="0"/>
        <v>0</v>
      </c>
    </row>
    <row r="30" spans="1:12" x14ac:dyDescent="0.2">
      <c r="B30" t="s">
        <v>163</v>
      </c>
      <c r="H30" s="258"/>
      <c r="J30" s="278">
        <v>0.05</v>
      </c>
      <c r="L30" s="276">
        <f t="shared" si="0"/>
        <v>0</v>
      </c>
    </row>
    <row r="31" spans="1:12" x14ac:dyDescent="0.2">
      <c r="J31" s="278"/>
    </row>
    <row r="33" spans="1:12" x14ac:dyDescent="0.2">
      <c r="B33" t="s">
        <v>164</v>
      </c>
    </row>
    <row r="34" spans="1:12" x14ac:dyDescent="0.2">
      <c r="B34" t="s">
        <v>165</v>
      </c>
    </row>
    <row r="35" spans="1:12" x14ac:dyDescent="0.2">
      <c r="E35" t="s">
        <v>166</v>
      </c>
      <c r="L35" s="277" t="e">
        <f>SUM(L15:L30)</f>
        <v>#DIV/0!</v>
      </c>
    </row>
    <row r="36" spans="1:12" x14ac:dyDescent="0.2">
      <c r="E36" t="s">
        <v>167</v>
      </c>
      <c r="L36" s="268" t="e">
        <f>IF(L35&gt;=9.3,10,IF(L35&gt;=7.5,8,IF(L35&gt;=5,6,IF(L35&gt;=3,4,2))))</f>
        <v>#DIV/0!</v>
      </c>
    </row>
    <row r="37" spans="1:12" x14ac:dyDescent="0.2">
      <c r="E37" t="s">
        <v>168</v>
      </c>
      <c r="L37" s="268" t="e">
        <f>IF(L36=10,"O",IF(L36=8,"VS",IF(L36=6,"S",IF(L36=4,"F","US"))))</f>
        <v>#DIV/0!</v>
      </c>
    </row>
    <row r="40" spans="1:12" x14ac:dyDescent="0.2">
      <c r="A40" t="s">
        <v>169</v>
      </c>
    </row>
    <row r="41" spans="1:12" x14ac:dyDescent="0.2">
      <c r="C41" t="s">
        <v>170</v>
      </c>
      <c r="E41" s="281" t="s">
        <v>171</v>
      </c>
    </row>
    <row r="42" spans="1:12" x14ac:dyDescent="0.2">
      <c r="C42" t="s">
        <v>172</v>
      </c>
      <c r="E42" s="281" t="s">
        <v>173</v>
      </c>
    </row>
    <row r="43" spans="1:12" x14ac:dyDescent="0.2">
      <c r="C43" t="s">
        <v>174</v>
      </c>
      <c r="E43" s="281" t="s">
        <v>175</v>
      </c>
    </row>
    <row r="44" spans="1:12" x14ac:dyDescent="0.2">
      <c r="C44" t="s">
        <v>176</v>
      </c>
      <c r="E44" s="281" t="s">
        <v>177</v>
      </c>
    </row>
    <row r="45" spans="1:12" x14ac:dyDescent="0.2">
      <c r="C45" t="s">
        <v>178</v>
      </c>
      <c r="E45" s="281" t="s">
        <v>179</v>
      </c>
    </row>
    <row r="47" spans="1:12" x14ac:dyDescent="0.2">
      <c r="A47" t="s">
        <v>180</v>
      </c>
      <c r="H47" t="s">
        <v>181</v>
      </c>
    </row>
    <row r="48" spans="1:12" x14ac:dyDescent="0.2">
      <c r="A48" s="451"/>
      <c r="B48" s="451"/>
      <c r="C48" s="451"/>
      <c r="D48" s="451"/>
      <c r="E48" s="451"/>
      <c r="F48" s="451"/>
    </row>
    <row r="49" spans="1:12" x14ac:dyDescent="0.2">
      <c r="A49" s="452"/>
      <c r="B49" s="452"/>
      <c r="C49" s="452"/>
      <c r="D49" s="452"/>
      <c r="E49" s="452"/>
      <c r="F49" s="452"/>
      <c r="H49" s="451" t="str">
        <f>D9</f>
        <v xml:space="preserve">,  </v>
      </c>
      <c r="I49" s="451"/>
      <c r="J49" s="451"/>
      <c r="K49" s="451"/>
      <c r="L49" s="451"/>
    </row>
    <row r="50" spans="1:12" x14ac:dyDescent="0.2">
      <c r="A50" s="452"/>
      <c r="B50" s="452"/>
      <c r="C50" s="452"/>
      <c r="D50" s="452"/>
      <c r="E50" s="452"/>
      <c r="F50" s="452"/>
      <c r="H50" s="453" t="s">
        <v>182</v>
      </c>
      <c r="I50" s="453"/>
      <c r="J50" s="453"/>
      <c r="K50" s="453"/>
      <c r="L50" s="453"/>
    </row>
    <row r="51" spans="1:12" x14ac:dyDescent="0.2">
      <c r="A51" s="452"/>
      <c r="B51" s="452"/>
      <c r="C51" s="452"/>
      <c r="D51" s="452"/>
      <c r="E51" s="452"/>
      <c r="F51" s="452"/>
    </row>
    <row r="52" spans="1:12" x14ac:dyDescent="0.2">
      <c r="A52" s="452"/>
      <c r="B52" s="452"/>
      <c r="C52" s="452"/>
      <c r="D52" s="452"/>
      <c r="E52" s="452"/>
      <c r="F52" s="452"/>
    </row>
    <row r="54" spans="1:12" x14ac:dyDescent="0.2">
      <c r="A54" t="s">
        <v>183</v>
      </c>
      <c r="H54" s="451" t="str">
        <f>TI!DZ75</f>
        <v>DANIEL E. MALIGAT, JR., DIT</v>
      </c>
      <c r="I54" s="451"/>
      <c r="J54" s="451"/>
      <c r="K54" s="451"/>
      <c r="L54" s="451"/>
    </row>
    <row r="55" spans="1:12" x14ac:dyDescent="0.2">
      <c r="A55" s="451"/>
      <c r="B55" s="451"/>
      <c r="C55" s="451"/>
      <c r="D55" s="451"/>
      <c r="E55" s="451"/>
      <c r="F55" s="451"/>
      <c r="H55" s="453" t="s">
        <v>184</v>
      </c>
      <c r="I55" s="453"/>
      <c r="J55" s="453"/>
      <c r="K55" s="453"/>
      <c r="L55" s="453"/>
    </row>
    <row r="56" spans="1:12" x14ac:dyDescent="0.2">
      <c r="A56" s="452"/>
      <c r="B56" s="452"/>
      <c r="C56" s="452"/>
      <c r="D56" s="452"/>
      <c r="E56" s="452"/>
      <c r="F56" s="452"/>
    </row>
    <row r="57" spans="1:12" x14ac:dyDescent="0.2">
      <c r="A57" s="452"/>
      <c r="B57" s="452"/>
      <c r="C57" s="452"/>
      <c r="D57" s="452"/>
      <c r="E57" s="452"/>
      <c r="F57" s="452"/>
    </row>
    <row r="58" spans="1:12" x14ac:dyDescent="0.2">
      <c r="A58" s="452"/>
      <c r="B58" s="452"/>
      <c r="C58" s="452"/>
      <c r="D58" s="452"/>
      <c r="E58" s="452"/>
      <c r="F58" s="452"/>
    </row>
    <row r="59" spans="1:12" x14ac:dyDescent="0.2">
      <c r="A59" s="452"/>
      <c r="B59" s="452"/>
      <c r="C59" s="452"/>
      <c r="D59" s="452"/>
      <c r="E59" s="452"/>
      <c r="F59" s="452"/>
      <c r="H59" s="454"/>
      <c r="I59" s="454"/>
      <c r="J59" s="454"/>
      <c r="K59" s="454"/>
      <c r="L59" s="454"/>
    </row>
    <row r="60" spans="1:12" x14ac:dyDescent="0.2">
      <c r="A60" s="452"/>
      <c r="B60" s="452"/>
      <c r="C60" s="452"/>
      <c r="D60" s="452"/>
      <c r="E60" s="452"/>
      <c r="F60" s="452"/>
      <c r="H60" s="453" t="s">
        <v>185</v>
      </c>
      <c r="I60" s="453"/>
      <c r="J60" s="453"/>
      <c r="K60" s="453"/>
      <c r="L60" s="453"/>
    </row>
  </sheetData>
  <sheetProtection password="CA99" sheet="1" objects="1" scenarios="1"/>
  <mergeCells count="25">
    <mergeCell ref="H49:L49"/>
    <mergeCell ref="H50:L50"/>
    <mergeCell ref="H54:L54"/>
    <mergeCell ref="H55:L55"/>
    <mergeCell ref="A52:F52"/>
    <mergeCell ref="A55:F55"/>
    <mergeCell ref="H60:L60"/>
    <mergeCell ref="A60:F60"/>
    <mergeCell ref="A58:F58"/>
    <mergeCell ref="A59:F59"/>
    <mergeCell ref="H59:L59"/>
    <mergeCell ref="A56:F56"/>
    <mergeCell ref="A57:F57"/>
    <mergeCell ref="A48:F48"/>
    <mergeCell ref="A49:F49"/>
    <mergeCell ref="A50:F50"/>
    <mergeCell ref="A51:F51"/>
    <mergeCell ref="D9:F9"/>
    <mergeCell ref="D10:F10"/>
    <mergeCell ref="J9:L9"/>
    <mergeCell ref="J10:L10"/>
    <mergeCell ref="A1:L1"/>
    <mergeCell ref="A2:L2"/>
    <mergeCell ref="A3:L3"/>
    <mergeCell ref="A6:L6"/>
  </mergeCells>
  <phoneticPr fontId="0" type="noConversion"/>
  <pageMargins left="0.75" right="0.75" top="1" bottom="1.5" header="0.5" footer="0.5"/>
  <pageSetup paperSize="5" orientation="portrait" blackAndWhite="1" horizontalDpi="4294967295" verticalDpi="144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BB48"/>
  <sheetViews>
    <sheetView showZeros="0" view="pageBreakPreview" zoomScale="75" zoomScaleNormal="75" workbookViewId="0">
      <selection activeCell="F7" sqref="F7:P7"/>
    </sheetView>
  </sheetViews>
  <sheetFormatPr defaultRowHeight="12.75" x14ac:dyDescent="0.2"/>
  <cols>
    <col min="1" max="1" width="1.85546875" customWidth="1"/>
    <col min="2" max="2" width="2.85546875" customWidth="1"/>
    <col min="3" max="3" width="5.140625" customWidth="1"/>
    <col min="4" max="4" width="4.85546875" customWidth="1"/>
    <col min="5" max="8" width="3.85546875" customWidth="1"/>
    <col min="9" max="10" width="4.140625" customWidth="1"/>
    <col min="11" max="15" width="3.85546875" customWidth="1"/>
    <col min="16" max="16" width="4.140625" customWidth="1"/>
    <col min="17" max="18" width="3.85546875" customWidth="1"/>
    <col min="19" max="20" width="4.140625" customWidth="1"/>
    <col min="21" max="39" width="3.85546875" customWidth="1"/>
    <col min="40" max="41" width="4.140625" customWidth="1"/>
    <col min="42" max="55" width="3.85546875" customWidth="1"/>
  </cols>
  <sheetData>
    <row r="1" spans="1:54" x14ac:dyDescent="0.2">
      <c r="B1" s="353" t="s">
        <v>0</v>
      </c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3"/>
      <c r="AA1" s="353"/>
      <c r="AB1" s="353"/>
      <c r="AC1" s="353"/>
      <c r="AD1" s="353"/>
      <c r="AE1" s="353"/>
      <c r="AF1" s="353"/>
      <c r="AG1" s="353"/>
      <c r="AH1" s="353"/>
      <c r="AI1" s="353"/>
      <c r="AJ1" s="353"/>
      <c r="AK1" s="353"/>
      <c r="AL1" s="353"/>
      <c r="AM1" s="353"/>
      <c r="AN1" s="353"/>
      <c r="AO1" s="353"/>
      <c r="AP1" s="353"/>
      <c r="AQ1" s="353"/>
      <c r="AR1" s="353"/>
      <c r="AS1" s="353"/>
      <c r="AT1" s="353"/>
      <c r="AU1" s="353"/>
      <c r="AV1" s="353"/>
      <c r="AW1" s="353"/>
      <c r="AX1" s="353"/>
      <c r="AY1" s="353"/>
      <c r="AZ1" s="353"/>
      <c r="BA1" s="353"/>
      <c r="BB1" s="353"/>
    </row>
    <row r="2" spans="1:54" x14ac:dyDescent="0.2">
      <c r="B2" s="353" t="s">
        <v>1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353"/>
      <c r="W2" s="353"/>
      <c r="X2" s="353"/>
      <c r="Y2" s="353"/>
      <c r="Z2" s="353"/>
      <c r="AA2" s="353"/>
      <c r="AB2" s="353"/>
      <c r="AC2" s="353"/>
      <c r="AD2" s="353"/>
      <c r="AE2" s="353"/>
      <c r="AF2" s="353"/>
      <c r="AG2" s="353"/>
      <c r="AH2" s="353"/>
      <c r="AI2" s="353"/>
      <c r="AJ2" s="353"/>
      <c r="AK2" s="353"/>
      <c r="AL2" s="353"/>
      <c r="AM2" s="353"/>
      <c r="AN2" s="353"/>
      <c r="AO2" s="353"/>
      <c r="AP2" s="353"/>
      <c r="AQ2" s="353"/>
      <c r="AR2" s="353"/>
      <c r="AS2" s="353"/>
      <c r="AT2" s="353"/>
      <c r="AU2" s="353"/>
      <c r="AV2" s="353"/>
      <c r="AW2" s="353"/>
      <c r="AX2" s="353"/>
      <c r="AY2" s="353"/>
      <c r="AZ2" s="353"/>
      <c r="BA2" s="353"/>
      <c r="BB2" s="353"/>
    </row>
    <row r="3" spans="1:54" x14ac:dyDescent="0.2">
      <c r="B3" s="353" t="s">
        <v>2</v>
      </c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353"/>
      <c r="W3" s="353"/>
      <c r="X3" s="353"/>
      <c r="Y3" s="353"/>
      <c r="Z3" s="353"/>
      <c r="AA3" s="353"/>
      <c r="AB3" s="353"/>
      <c r="AC3" s="353"/>
      <c r="AD3" s="353"/>
      <c r="AE3" s="353"/>
      <c r="AF3" s="353"/>
      <c r="AG3" s="353"/>
      <c r="AH3" s="353"/>
      <c r="AI3" s="353"/>
      <c r="AJ3" s="353"/>
      <c r="AK3" s="353"/>
      <c r="AL3" s="353"/>
      <c r="AM3" s="353"/>
      <c r="AN3" s="353"/>
      <c r="AO3" s="353"/>
      <c r="AP3" s="353"/>
      <c r="AQ3" s="353"/>
      <c r="AR3" s="353"/>
      <c r="AS3" s="353"/>
      <c r="AT3" s="353"/>
      <c r="AU3" s="353"/>
      <c r="AV3" s="353"/>
      <c r="AW3" s="353"/>
      <c r="AX3" s="353"/>
      <c r="AY3" s="353"/>
      <c r="AZ3" s="353"/>
      <c r="BA3" s="353"/>
      <c r="BB3" s="353"/>
    </row>
    <row r="5" spans="1:54" x14ac:dyDescent="0.2">
      <c r="B5" s="350" t="s">
        <v>97</v>
      </c>
      <c r="C5" s="350"/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  <c r="AK5" s="350"/>
      <c r="AL5" s="350"/>
      <c r="AM5" s="350"/>
      <c r="AN5" s="350"/>
      <c r="AO5" s="350"/>
      <c r="AP5" s="350"/>
      <c r="AQ5" s="350"/>
      <c r="AR5" s="350"/>
      <c r="AS5" s="350"/>
      <c r="AT5" s="350"/>
      <c r="AU5" s="350"/>
      <c r="AV5" s="350"/>
      <c r="AW5" s="350"/>
      <c r="AX5" s="350"/>
      <c r="AY5" s="350"/>
      <c r="AZ5" s="350"/>
      <c r="BA5" s="350"/>
      <c r="BB5" s="350"/>
    </row>
    <row r="6" spans="1:54" x14ac:dyDescent="0.2"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</row>
    <row r="7" spans="1:54" x14ac:dyDescent="0.2">
      <c r="B7" t="s">
        <v>3</v>
      </c>
      <c r="F7" s="407" t="e">
        <f>TI!DC6:DM6</f>
        <v>#VALUE!</v>
      </c>
      <c r="G7" s="408"/>
      <c r="H7" s="408"/>
      <c r="I7" s="408"/>
      <c r="J7" s="408"/>
      <c r="K7" s="408"/>
      <c r="L7" s="408"/>
      <c r="M7" s="408"/>
      <c r="N7" s="408"/>
      <c r="O7" s="408"/>
      <c r="P7" s="409"/>
      <c r="AK7" t="s">
        <v>4</v>
      </c>
      <c r="AP7" s="407" t="e">
        <f>TI!MG6:MO6</f>
        <v>#VALUE!</v>
      </c>
      <c r="AQ7" s="408"/>
      <c r="AR7" s="408"/>
      <c r="AS7" s="408"/>
      <c r="AT7" s="408"/>
      <c r="AU7" s="408"/>
      <c r="AV7" s="408"/>
      <c r="AW7" s="408"/>
      <c r="AX7" s="409"/>
    </row>
    <row r="8" spans="1:54" ht="13.5" thickBot="1" x14ac:dyDescent="0.25">
      <c r="F8" s="1"/>
      <c r="G8" s="1"/>
      <c r="H8" s="1"/>
      <c r="I8" s="1"/>
      <c r="J8" s="1"/>
      <c r="K8" s="1"/>
      <c r="L8" s="1"/>
      <c r="M8" s="1"/>
      <c r="N8" s="1"/>
      <c r="O8" s="1"/>
      <c r="P8" s="1"/>
      <c r="AP8" s="1"/>
      <c r="AQ8" s="1"/>
      <c r="AR8" s="1"/>
      <c r="AS8" s="1"/>
      <c r="AT8" s="1"/>
      <c r="AU8" s="1"/>
      <c r="AV8" s="1"/>
      <c r="AW8" s="1"/>
      <c r="AX8" s="1"/>
    </row>
    <row r="9" spans="1:54" ht="13.5" thickBot="1" x14ac:dyDescent="0.25">
      <c r="A9" s="161"/>
      <c r="B9" s="411" t="s">
        <v>76</v>
      </c>
      <c r="C9" s="412"/>
      <c r="D9" s="412"/>
      <c r="E9" s="412"/>
      <c r="F9" s="412"/>
      <c r="G9" s="412"/>
      <c r="H9" s="412"/>
      <c r="I9" s="413"/>
      <c r="J9" s="468">
        <v>0.2</v>
      </c>
      <c r="K9" s="469"/>
      <c r="L9" s="470" t="e">
        <f>AVERAGE(C12:C16)</f>
        <v>#DIV/0!</v>
      </c>
      <c r="M9" s="471"/>
      <c r="N9" s="160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0"/>
      <c r="AY9" s="41"/>
    </row>
    <row r="10" spans="1:54" x14ac:dyDescent="0.2">
      <c r="A10" s="161"/>
      <c r="B10" s="171"/>
      <c r="C10" s="422" t="s">
        <v>11</v>
      </c>
      <c r="D10" s="474" t="s">
        <v>6</v>
      </c>
      <c r="E10" s="457" t="s">
        <v>98</v>
      </c>
      <c r="F10" s="417"/>
      <c r="G10" s="417"/>
      <c r="H10" s="417"/>
      <c r="I10" s="417"/>
      <c r="J10" s="417"/>
      <c r="K10" s="417"/>
      <c r="L10" s="417"/>
      <c r="M10" s="417"/>
      <c r="N10" s="417"/>
      <c r="O10" s="417"/>
      <c r="P10" s="417"/>
      <c r="Q10" s="417"/>
      <c r="R10" s="417"/>
      <c r="S10" s="417"/>
      <c r="T10" s="417"/>
      <c r="U10" s="417"/>
      <c r="V10" s="417"/>
      <c r="W10" s="417"/>
      <c r="X10" s="417"/>
      <c r="Y10" s="417"/>
      <c r="Z10" s="417"/>
      <c r="AA10" s="417"/>
      <c r="AB10" s="417"/>
      <c r="AC10" s="417"/>
      <c r="AD10" s="417"/>
      <c r="AE10" s="417"/>
      <c r="AF10" s="417"/>
      <c r="AG10" s="417"/>
      <c r="AH10" s="417"/>
      <c r="AI10" s="417"/>
      <c r="AJ10" s="417"/>
      <c r="AK10" s="417"/>
      <c r="AL10" s="417"/>
      <c r="AM10" s="417"/>
      <c r="AN10" s="417"/>
      <c r="AO10" s="417"/>
      <c r="AP10" s="417"/>
      <c r="AQ10" s="417"/>
      <c r="AR10" s="417"/>
      <c r="AS10" s="417"/>
      <c r="AT10" s="417"/>
      <c r="AU10" s="417"/>
      <c r="AV10" s="417"/>
      <c r="AW10" s="417"/>
      <c r="AX10" s="417"/>
      <c r="AY10" s="417"/>
      <c r="AZ10" s="417"/>
      <c r="BA10" s="417"/>
      <c r="BB10" s="418"/>
    </row>
    <row r="11" spans="1:54" ht="13.5" thickBot="1" x14ac:dyDescent="0.25">
      <c r="A11" s="161"/>
      <c r="B11" s="172"/>
      <c r="C11" s="444"/>
      <c r="D11" s="475"/>
      <c r="E11" s="168">
        <v>1</v>
      </c>
      <c r="F11" s="138">
        <v>2</v>
      </c>
      <c r="G11" s="138">
        <v>3</v>
      </c>
      <c r="H11" s="138">
        <v>4</v>
      </c>
      <c r="I11" s="138">
        <v>5</v>
      </c>
      <c r="J11" s="138">
        <v>6</v>
      </c>
      <c r="K11" s="138">
        <v>7</v>
      </c>
      <c r="L11" s="138">
        <v>8</v>
      </c>
      <c r="M11" s="138">
        <v>9</v>
      </c>
      <c r="N11" s="138">
        <v>10</v>
      </c>
      <c r="O11" s="138">
        <v>11</v>
      </c>
      <c r="P11" s="138">
        <v>12</v>
      </c>
      <c r="Q11" s="138">
        <v>13</v>
      </c>
      <c r="R11" s="138">
        <v>14</v>
      </c>
      <c r="S11" s="138">
        <v>15</v>
      </c>
      <c r="T11" s="138">
        <v>16</v>
      </c>
      <c r="U11" s="138">
        <v>17</v>
      </c>
      <c r="V11" s="138">
        <v>18</v>
      </c>
      <c r="W11" s="138">
        <v>19</v>
      </c>
      <c r="X11" s="138">
        <v>20</v>
      </c>
      <c r="Y11" s="138">
        <v>21</v>
      </c>
      <c r="Z11" s="138">
        <v>22</v>
      </c>
      <c r="AA11" s="138">
        <v>23</v>
      </c>
      <c r="AB11" s="138">
        <v>24</v>
      </c>
      <c r="AC11" s="138">
        <v>25</v>
      </c>
      <c r="AD11" s="138">
        <v>26</v>
      </c>
      <c r="AE11" s="138">
        <v>27</v>
      </c>
      <c r="AF11" s="138">
        <v>28</v>
      </c>
      <c r="AG11" s="138">
        <v>29</v>
      </c>
      <c r="AH11" s="138">
        <v>30</v>
      </c>
      <c r="AI11" s="138">
        <v>31</v>
      </c>
      <c r="AJ11" s="138">
        <v>32</v>
      </c>
      <c r="AK11" s="138">
        <v>33</v>
      </c>
      <c r="AL11" s="138">
        <v>34</v>
      </c>
      <c r="AM11" s="138">
        <v>35</v>
      </c>
      <c r="AN11" s="138">
        <v>36</v>
      </c>
      <c r="AO11" s="138">
        <v>37</v>
      </c>
      <c r="AP11" s="138">
        <v>38</v>
      </c>
      <c r="AQ11" s="138">
        <v>39</v>
      </c>
      <c r="AR11" s="138">
        <v>40</v>
      </c>
      <c r="AS11" s="138">
        <v>41</v>
      </c>
      <c r="AT11" s="138">
        <v>42</v>
      </c>
      <c r="AU11" s="138">
        <v>43</v>
      </c>
      <c r="AV11" s="138">
        <v>44</v>
      </c>
      <c r="AW11" s="138">
        <v>45</v>
      </c>
      <c r="AX11" s="138">
        <v>46</v>
      </c>
      <c r="AY11" s="138">
        <v>47</v>
      </c>
      <c r="AZ11" s="138">
        <v>48</v>
      </c>
      <c r="BA11" s="138">
        <v>49</v>
      </c>
      <c r="BB11" s="169">
        <v>50</v>
      </c>
    </row>
    <row r="12" spans="1:54" x14ac:dyDescent="0.2">
      <c r="A12" s="161"/>
      <c r="B12" s="165">
        <v>1</v>
      </c>
      <c r="C12" s="178" t="e">
        <f>AVERAGE(E12:BB12,E19:BB19,E26:BB26,E33:BB33)</f>
        <v>#DIV/0!</v>
      </c>
      <c r="D12" s="181" t="e">
        <f>RANK(C12,$C$12:$C$16)</f>
        <v>#DIV/0!</v>
      </c>
      <c r="E12" s="170"/>
      <c r="F12" s="163"/>
      <c r="G12" s="163"/>
      <c r="H12" s="163"/>
      <c r="I12" s="163"/>
      <c r="J12" s="233"/>
      <c r="K12" s="23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233"/>
      <c r="AU12" s="233"/>
      <c r="AV12" s="233"/>
      <c r="AW12" s="163"/>
      <c r="AX12" s="40"/>
      <c r="AY12" s="40"/>
      <c r="AZ12" s="40"/>
      <c r="BA12" s="40"/>
      <c r="BB12" s="234"/>
    </row>
    <row r="13" spans="1:54" x14ac:dyDescent="0.2">
      <c r="A13" s="161"/>
      <c r="B13" s="166">
        <v>2</v>
      </c>
      <c r="C13" s="179" t="e">
        <f>AVERAGE(E13:BB13,E20:BB20,E27:BB27,E34:BB34)</f>
        <v>#DIV/0!</v>
      </c>
      <c r="D13" s="182" t="e">
        <f>RANK(C13,$C$12:$C$16)</f>
        <v>#DIV/0!</v>
      </c>
      <c r="E13" s="170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40"/>
      <c r="AY13" s="40"/>
      <c r="AZ13" s="40"/>
      <c r="BA13" s="40"/>
      <c r="BB13" s="234"/>
    </row>
    <row r="14" spans="1:54" x14ac:dyDescent="0.2">
      <c r="A14" s="161"/>
      <c r="B14" s="166">
        <v>3</v>
      </c>
      <c r="C14" s="179" t="e">
        <f>AVERAGE(E14:BB14,E21:BB21,E28:BB28,E35:BB35)</f>
        <v>#DIV/0!</v>
      </c>
      <c r="D14" s="182" t="e">
        <f>RANK(C14,$C$12:$C$16)</f>
        <v>#DIV/0!</v>
      </c>
      <c r="E14" s="170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40"/>
      <c r="AY14" s="40"/>
      <c r="AZ14" s="40"/>
      <c r="BA14" s="40"/>
      <c r="BB14" s="234"/>
    </row>
    <row r="15" spans="1:54" x14ac:dyDescent="0.2">
      <c r="A15" s="161"/>
      <c r="B15" s="166">
        <v>4</v>
      </c>
      <c r="C15" s="179" t="e">
        <f>AVERAGE(E15:BB15,E22:BB22,E29:BB29,E36:BB36)</f>
        <v>#DIV/0!</v>
      </c>
      <c r="D15" s="182" t="e">
        <f>RANK(C15,$C$12:$C$16)</f>
        <v>#DIV/0!</v>
      </c>
      <c r="E15" s="170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40"/>
      <c r="AY15" s="40"/>
      <c r="AZ15" s="40"/>
      <c r="BA15" s="40"/>
      <c r="BB15" s="234"/>
    </row>
    <row r="16" spans="1:54" ht="13.5" thickBot="1" x14ac:dyDescent="0.25">
      <c r="A16" s="161"/>
      <c r="B16" s="167">
        <v>5</v>
      </c>
      <c r="C16" s="180" t="e">
        <f>AVERAGE(E16:BB16,E23:BB23,E30:BB30,E37:BB37)</f>
        <v>#DIV/0!</v>
      </c>
      <c r="D16" s="183" t="e">
        <f>RANK(C16,$C$12:$C$16)</f>
        <v>#DIV/0!</v>
      </c>
      <c r="E16" s="170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40"/>
      <c r="AY16" s="40"/>
      <c r="AZ16" s="40"/>
      <c r="BA16" s="40"/>
      <c r="BB16" s="234"/>
    </row>
    <row r="17" spans="1:54" x14ac:dyDescent="0.2">
      <c r="A17" s="161"/>
      <c r="B17" s="161"/>
      <c r="C17" s="162"/>
      <c r="D17" s="161"/>
      <c r="E17" s="457" t="s">
        <v>98</v>
      </c>
      <c r="F17" s="417"/>
      <c r="G17" s="417"/>
      <c r="H17" s="417"/>
      <c r="I17" s="417"/>
      <c r="J17" s="417"/>
      <c r="K17" s="417"/>
      <c r="L17" s="417"/>
      <c r="M17" s="417"/>
      <c r="N17" s="417"/>
      <c r="O17" s="417"/>
      <c r="P17" s="417"/>
      <c r="Q17" s="417"/>
      <c r="R17" s="417"/>
      <c r="S17" s="417"/>
      <c r="T17" s="417"/>
      <c r="U17" s="417"/>
      <c r="V17" s="417"/>
      <c r="W17" s="417"/>
      <c r="X17" s="417"/>
      <c r="Y17" s="417"/>
      <c r="Z17" s="417"/>
      <c r="AA17" s="417"/>
      <c r="AB17" s="417"/>
      <c r="AC17" s="417"/>
      <c r="AD17" s="417"/>
      <c r="AE17" s="417"/>
      <c r="AF17" s="417"/>
      <c r="AG17" s="417"/>
      <c r="AH17" s="417"/>
      <c r="AI17" s="417"/>
      <c r="AJ17" s="417"/>
      <c r="AK17" s="417"/>
      <c r="AL17" s="417"/>
      <c r="AM17" s="417"/>
      <c r="AN17" s="417"/>
      <c r="AO17" s="417"/>
      <c r="AP17" s="417"/>
      <c r="AQ17" s="417"/>
      <c r="AR17" s="417"/>
      <c r="AS17" s="417"/>
      <c r="AT17" s="417"/>
      <c r="AU17" s="417"/>
      <c r="AV17" s="417"/>
      <c r="AW17" s="417"/>
      <c r="AX17" s="417"/>
      <c r="AY17" s="417"/>
      <c r="AZ17" s="417"/>
      <c r="BA17" s="417"/>
      <c r="BB17" s="418"/>
    </row>
    <row r="18" spans="1:54" ht="13.5" thickBot="1" x14ac:dyDescent="0.25">
      <c r="A18" s="161"/>
      <c r="B18" s="161"/>
      <c r="C18" s="161"/>
      <c r="D18" s="161"/>
      <c r="E18" s="168">
        <v>51</v>
      </c>
      <c r="F18" s="138">
        <v>52</v>
      </c>
      <c r="G18" s="138">
        <v>53</v>
      </c>
      <c r="H18" s="138">
        <v>54</v>
      </c>
      <c r="I18" s="138">
        <v>55</v>
      </c>
      <c r="J18" s="138">
        <v>56</v>
      </c>
      <c r="K18" s="138">
        <v>57</v>
      </c>
      <c r="L18" s="138">
        <v>58</v>
      </c>
      <c r="M18" s="138">
        <v>59</v>
      </c>
      <c r="N18" s="138">
        <v>60</v>
      </c>
      <c r="O18" s="138">
        <v>61</v>
      </c>
      <c r="P18" s="138">
        <v>62</v>
      </c>
      <c r="Q18" s="138">
        <v>63</v>
      </c>
      <c r="R18" s="138">
        <v>64</v>
      </c>
      <c r="S18" s="138">
        <v>65</v>
      </c>
      <c r="T18" s="138">
        <v>66</v>
      </c>
      <c r="U18" s="138">
        <v>67</v>
      </c>
      <c r="V18" s="138">
        <v>68</v>
      </c>
      <c r="W18" s="138">
        <v>69</v>
      </c>
      <c r="X18" s="138">
        <v>70</v>
      </c>
      <c r="Y18" s="138">
        <v>71</v>
      </c>
      <c r="Z18" s="138">
        <v>72</v>
      </c>
      <c r="AA18" s="138">
        <v>73</v>
      </c>
      <c r="AB18" s="138">
        <v>74</v>
      </c>
      <c r="AC18" s="138">
        <v>75</v>
      </c>
      <c r="AD18" s="138">
        <v>76</v>
      </c>
      <c r="AE18" s="138">
        <v>77</v>
      </c>
      <c r="AF18" s="138">
        <v>78</v>
      </c>
      <c r="AG18" s="138">
        <v>79</v>
      </c>
      <c r="AH18" s="138">
        <v>80</v>
      </c>
      <c r="AI18" s="138">
        <v>81</v>
      </c>
      <c r="AJ18" s="138">
        <v>82</v>
      </c>
      <c r="AK18" s="138">
        <v>83</v>
      </c>
      <c r="AL18" s="138">
        <v>84</v>
      </c>
      <c r="AM18" s="138">
        <v>85</v>
      </c>
      <c r="AN18" s="138">
        <v>86</v>
      </c>
      <c r="AO18" s="138">
        <v>87</v>
      </c>
      <c r="AP18" s="138">
        <v>88</v>
      </c>
      <c r="AQ18" s="138">
        <v>89</v>
      </c>
      <c r="AR18" s="138">
        <v>90</v>
      </c>
      <c r="AS18" s="138">
        <v>91</v>
      </c>
      <c r="AT18" s="138">
        <v>92</v>
      </c>
      <c r="AU18" s="138">
        <v>93</v>
      </c>
      <c r="AV18" s="138">
        <v>94</v>
      </c>
      <c r="AW18" s="138">
        <v>95</v>
      </c>
      <c r="AX18" s="138">
        <v>96</v>
      </c>
      <c r="AY18" s="138">
        <v>97</v>
      </c>
      <c r="AZ18" s="138">
        <v>98</v>
      </c>
      <c r="BA18" s="138">
        <v>99</v>
      </c>
      <c r="BB18" s="169">
        <v>100</v>
      </c>
    </row>
    <row r="19" spans="1:54" x14ac:dyDescent="0.2">
      <c r="A19" s="161"/>
      <c r="B19" s="161"/>
      <c r="C19" s="162"/>
      <c r="D19" s="161"/>
      <c r="E19" s="170"/>
      <c r="F19" s="163"/>
      <c r="G19" s="163"/>
      <c r="H19" s="163"/>
      <c r="I19" s="163"/>
      <c r="J19" s="233"/>
      <c r="K19" s="23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233"/>
      <c r="AU19" s="233"/>
      <c r="AV19" s="233"/>
      <c r="AW19" s="163"/>
      <c r="AX19" s="40"/>
      <c r="AY19" s="40"/>
      <c r="AZ19" s="40"/>
      <c r="BA19" s="40"/>
      <c r="BB19" s="234"/>
    </row>
    <row r="20" spans="1:54" x14ac:dyDescent="0.2">
      <c r="A20" s="161"/>
      <c r="B20" s="161"/>
      <c r="C20" s="162"/>
      <c r="D20" s="161"/>
      <c r="E20" s="170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40"/>
      <c r="AY20" s="40"/>
      <c r="AZ20" s="40"/>
      <c r="BA20" s="40"/>
      <c r="BB20" s="234"/>
    </row>
    <row r="21" spans="1:54" x14ac:dyDescent="0.2">
      <c r="A21" s="161"/>
      <c r="B21" s="161"/>
      <c r="C21" s="162"/>
      <c r="D21" s="161"/>
      <c r="E21" s="170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40"/>
      <c r="AY21" s="40"/>
      <c r="AZ21" s="40"/>
      <c r="BA21" s="40"/>
      <c r="BB21" s="234"/>
    </row>
    <row r="22" spans="1:54" x14ac:dyDescent="0.2">
      <c r="A22" s="161"/>
      <c r="B22" s="161"/>
      <c r="C22" s="162"/>
      <c r="D22" s="161"/>
      <c r="E22" s="170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40"/>
      <c r="AY22" s="40"/>
      <c r="AZ22" s="40"/>
      <c r="BA22" s="40"/>
      <c r="BB22" s="234"/>
    </row>
    <row r="23" spans="1:54" ht="13.5" thickBot="1" x14ac:dyDescent="0.25">
      <c r="A23" s="161"/>
      <c r="B23" s="161"/>
      <c r="C23" s="162"/>
      <c r="D23" s="161"/>
      <c r="E23" s="170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40"/>
      <c r="AY23" s="40"/>
      <c r="AZ23" s="40"/>
      <c r="BA23" s="40"/>
      <c r="BB23" s="234"/>
    </row>
    <row r="24" spans="1:54" x14ac:dyDescent="0.2">
      <c r="A24" s="161"/>
      <c r="B24" s="161"/>
      <c r="C24" s="161"/>
      <c r="D24" s="161"/>
      <c r="E24" s="457" t="s">
        <v>98</v>
      </c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417"/>
      <c r="S24" s="417"/>
      <c r="T24" s="417"/>
      <c r="U24" s="417"/>
      <c r="V24" s="417"/>
      <c r="W24" s="417"/>
      <c r="X24" s="417"/>
      <c r="Y24" s="417"/>
      <c r="Z24" s="417"/>
      <c r="AA24" s="417"/>
      <c r="AB24" s="417"/>
      <c r="AC24" s="417"/>
      <c r="AD24" s="417"/>
      <c r="AE24" s="417"/>
      <c r="AF24" s="417"/>
      <c r="AG24" s="417"/>
      <c r="AH24" s="417"/>
      <c r="AI24" s="417"/>
      <c r="AJ24" s="417"/>
      <c r="AK24" s="417"/>
      <c r="AL24" s="417"/>
      <c r="AM24" s="417"/>
      <c r="AN24" s="417"/>
      <c r="AO24" s="417"/>
      <c r="AP24" s="417"/>
      <c r="AQ24" s="417"/>
      <c r="AR24" s="417"/>
      <c r="AS24" s="417"/>
      <c r="AT24" s="417"/>
      <c r="AU24" s="417"/>
      <c r="AV24" s="417"/>
      <c r="AW24" s="417"/>
      <c r="AX24" s="417"/>
      <c r="AY24" s="417"/>
      <c r="AZ24" s="417"/>
      <c r="BA24" s="417"/>
      <c r="BB24" s="418"/>
    </row>
    <row r="25" spans="1:54" ht="13.5" thickBot="1" x14ac:dyDescent="0.25">
      <c r="A25" s="161"/>
      <c r="B25" s="161"/>
      <c r="C25" s="162"/>
      <c r="D25" s="161"/>
      <c r="E25" s="168">
        <v>101</v>
      </c>
      <c r="F25" s="138">
        <v>102</v>
      </c>
      <c r="G25" s="138">
        <v>103</v>
      </c>
      <c r="H25" s="138">
        <v>104</v>
      </c>
      <c r="I25" s="138">
        <v>105</v>
      </c>
      <c r="J25" s="138">
        <v>106</v>
      </c>
      <c r="K25" s="138">
        <v>107</v>
      </c>
      <c r="L25" s="138">
        <v>108</v>
      </c>
      <c r="M25" s="138">
        <v>109</v>
      </c>
      <c r="N25" s="138">
        <v>110</v>
      </c>
      <c r="O25" s="138">
        <v>111</v>
      </c>
      <c r="P25" s="138">
        <v>112</v>
      </c>
      <c r="Q25" s="138">
        <v>113</v>
      </c>
      <c r="R25" s="138">
        <v>114</v>
      </c>
      <c r="S25" s="138">
        <v>115</v>
      </c>
      <c r="T25" s="138">
        <v>116</v>
      </c>
      <c r="U25" s="138">
        <v>117</v>
      </c>
      <c r="V25" s="138">
        <v>118</v>
      </c>
      <c r="W25" s="138">
        <v>119</v>
      </c>
      <c r="X25" s="138">
        <v>120</v>
      </c>
      <c r="Y25" s="138">
        <v>121</v>
      </c>
      <c r="Z25" s="138">
        <v>122</v>
      </c>
      <c r="AA25" s="138">
        <v>123</v>
      </c>
      <c r="AB25" s="138">
        <v>124</v>
      </c>
      <c r="AC25" s="138">
        <v>125</v>
      </c>
      <c r="AD25" s="138">
        <v>126</v>
      </c>
      <c r="AE25" s="138">
        <v>127</v>
      </c>
      <c r="AF25" s="138">
        <v>128</v>
      </c>
      <c r="AG25" s="138">
        <v>129</v>
      </c>
      <c r="AH25" s="138">
        <v>130</v>
      </c>
      <c r="AI25" s="138">
        <v>131</v>
      </c>
      <c r="AJ25" s="138">
        <v>132</v>
      </c>
      <c r="AK25" s="138">
        <v>133</v>
      </c>
      <c r="AL25" s="138">
        <v>134</v>
      </c>
      <c r="AM25" s="138">
        <v>135</v>
      </c>
      <c r="AN25" s="138">
        <v>136</v>
      </c>
      <c r="AO25" s="138">
        <v>137</v>
      </c>
      <c r="AP25" s="138">
        <v>138</v>
      </c>
      <c r="AQ25" s="138">
        <v>139</v>
      </c>
      <c r="AR25" s="138">
        <v>140</v>
      </c>
      <c r="AS25" s="138">
        <v>141</v>
      </c>
      <c r="AT25" s="138">
        <v>142</v>
      </c>
      <c r="AU25" s="138">
        <v>143</v>
      </c>
      <c r="AV25" s="138">
        <v>144</v>
      </c>
      <c r="AW25" s="138">
        <v>145</v>
      </c>
      <c r="AX25" s="138">
        <v>146</v>
      </c>
      <c r="AY25" s="138">
        <v>147</v>
      </c>
      <c r="AZ25" s="138">
        <v>148</v>
      </c>
      <c r="BA25" s="138">
        <v>149</v>
      </c>
      <c r="BB25" s="169">
        <v>150</v>
      </c>
    </row>
    <row r="26" spans="1:54" x14ac:dyDescent="0.2">
      <c r="A26" s="161"/>
      <c r="B26" s="161"/>
      <c r="C26" s="162"/>
      <c r="D26" s="161"/>
      <c r="E26" s="170"/>
      <c r="F26" s="163"/>
      <c r="G26" s="163"/>
      <c r="H26" s="163"/>
      <c r="I26" s="163"/>
      <c r="J26" s="233"/>
      <c r="K26" s="23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233"/>
      <c r="AU26" s="233"/>
      <c r="AV26" s="233"/>
      <c r="AW26" s="163"/>
      <c r="AX26" s="40"/>
      <c r="AY26" s="40"/>
      <c r="AZ26" s="40"/>
      <c r="BA26" s="40"/>
      <c r="BB26" s="234"/>
    </row>
    <row r="27" spans="1:54" x14ac:dyDescent="0.2">
      <c r="A27" s="161"/>
      <c r="B27" s="161"/>
      <c r="C27" s="162"/>
      <c r="D27" s="161"/>
      <c r="E27" s="170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40"/>
      <c r="AY27" s="40"/>
      <c r="AZ27" s="40"/>
      <c r="BA27" s="40"/>
      <c r="BB27" s="234"/>
    </row>
    <row r="28" spans="1:54" x14ac:dyDescent="0.2">
      <c r="A28" s="161"/>
      <c r="B28" s="161"/>
      <c r="C28" s="162"/>
      <c r="D28" s="161"/>
      <c r="E28" s="170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40"/>
      <c r="AY28" s="40"/>
      <c r="AZ28" s="40"/>
      <c r="BA28" s="40"/>
      <c r="BB28" s="234"/>
    </row>
    <row r="29" spans="1:54" x14ac:dyDescent="0.2">
      <c r="A29" s="161"/>
      <c r="B29" s="161"/>
      <c r="C29" s="162"/>
      <c r="D29" s="161"/>
      <c r="E29" s="170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40"/>
      <c r="AY29" s="40"/>
      <c r="AZ29" s="40"/>
      <c r="BA29" s="40"/>
      <c r="BB29" s="234"/>
    </row>
    <row r="30" spans="1:54" ht="13.5" thickBot="1" x14ac:dyDescent="0.25">
      <c r="A30" s="161"/>
      <c r="B30" s="161"/>
      <c r="C30" s="161"/>
      <c r="D30" s="161"/>
      <c r="E30" s="170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40"/>
      <c r="AY30" s="40"/>
      <c r="AZ30" s="40"/>
      <c r="BA30" s="40"/>
      <c r="BB30" s="234"/>
    </row>
    <row r="31" spans="1:54" x14ac:dyDescent="0.2">
      <c r="A31" s="161"/>
      <c r="B31" s="161"/>
      <c r="C31" s="162"/>
      <c r="D31" s="161"/>
      <c r="E31" s="457" t="s">
        <v>98</v>
      </c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  <c r="AF31" s="417"/>
      <c r="AG31" s="417"/>
      <c r="AH31" s="417"/>
      <c r="AI31" s="417"/>
      <c r="AJ31" s="417"/>
      <c r="AK31" s="417"/>
      <c r="AL31" s="417"/>
      <c r="AM31" s="417"/>
      <c r="AN31" s="417"/>
      <c r="AO31" s="417"/>
      <c r="AP31" s="417"/>
      <c r="AQ31" s="417"/>
      <c r="AR31" s="417"/>
      <c r="AS31" s="417"/>
      <c r="AT31" s="417"/>
      <c r="AU31" s="417"/>
      <c r="AV31" s="417"/>
      <c r="AW31" s="417"/>
      <c r="AX31" s="417"/>
      <c r="AY31" s="417"/>
      <c r="AZ31" s="417"/>
      <c r="BA31" s="417"/>
      <c r="BB31" s="418"/>
    </row>
    <row r="32" spans="1:54" ht="13.5" thickBot="1" x14ac:dyDescent="0.25">
      <c r="A32" s="161"/>
      <c r="B32" s="161"/>
      <c r="C32" s="162"/>
      <c r="D32" s="161"/>
      <c r="E32" s="168">
        <v>151</v>
      </c>
      <c r="F32" s="138">
        <v>152</v>
      </c>
      <c r="G32" s="138">
        <v>153</v>
      </c>
      <c r="H32" s="138">
        <v>154</v>
      </c>
      <c r="I32" s="138">
        <v>155</v>
      </c>
      <c r="J32" s="138">
        <v>156</v>
      </c>
      <c r="K32" s="138">
        <v>157</v>
      </c>
      <c r="L32" s="138">
        <v>158</v>
      </c>
      <c r="M32" s="138">
        <v>159</v>
      </c>
      <c r="N32" s="138">
        <v>160</v>
      </c>
      <c r="O32" s="138">
        <v>161</v>
      </c>
      <c r="P32" s="138">
        <v>162</v>
      </c>
      <c r="Q32" s="138">
        <v>163</v>
      </c>
      <c r="R32" s="138">
        <v>164</v>
      </c>
      <c r="S32" s="138">
        <v>165</v>
      </c>
      <c r="T32" s="138">
        <v>166</v>
      </c>
      <c r="U32" s="138">
        <v>167</v>
      </c>
      <c r="V32" s="138">
        <v>168</v>
      </c>
      <c r="W32" s="138">
        <v>169</v>
      </c>
      <c r="X32" s="138">
        <v>170</v>
      </c>
      <c r="Y32" s="138">
        <v>171</v>
      </c>
      <c r="Z32" s="138">
        <v>172</v>
      </c>
      <c r="AA32" s="138">
        <v>173</v>
      </c>
      <c r="AB32" s="138">
        <v>174</v>
      </c>
      <c r="AC32" s="138">
        <v>175</v>
      </c>
      <c r="AD32" s="138">
        <v>176</v>
      </c>
      <c r="AE32" s="138">
        <v>177</v>
      </c>
      <c r="AF32" s="138">
        <v>178</v>
      </c>
      <c r="AG32" s="138">
        <v>179</v>
      </c>
      <c r="AH32" s="138">
        <v>180</v>
      </c>
      <c r="AI32" s="138">
        <v>181</v>
      </c>
      <c r="AJ32" s="138">
        <v>182</v>
      </c>
      <c r="AK32" s="138">
        <v>183</v>
      </c>
      <c r="AL32" s="138">
        <v>184</v>
      </c>
      <c r="AM32" s="138">
        <v>185</v>
      </c>
      <c r="AN32" s="138">
        <v>186</v>
      </c>
      <c r="AO32" s="138">
        <v>187</v>
      </c>
      <c r="AP32" s="138">
        <v>188</v>
      </c>
      <c r="AQ32" s="138">
        <v>189</v>
      </c>
      <c r="AR32" s="138">
        <v>190</v>
      </c>
      <c r="AS32" s="138">
        <v>191</v>
      </c>
      <c r="AT32" s="138">
        <v>192</v>
      </c>
      <c r="AU32" s="138">
        <v>193</v>
      </c>
      <c r="AV32" s="138">
        <v>194</v>
      </c>
      <c r="AW32" s="138">
        <v>195</v>
      </c>
      <c r="AX32" s="138">
        <v>196</v>
      </c>
      <c r="AY32" s="138">
        <v>197</v>
      </c>
      <c r="AZ32" s="138">
        <v>198</v>
      </c>
      <c r="BA32" s="138">
        <v>199</v>
      </c>
      <c r="BB32" s="169">
        <v>200</v>
      </c>
    </row>
    <row r="33" spans="1:54" x14ac:dyDescent="0.2">
      <c r="A33" s="161"/>
      <c r="B33" s="161"/>
      <c r="C33" s="162"/>
      <c r="D33" s="161"/>
      <c r="E33" s="170"/>
      <c r="F33" s="163"/>
      <c r="G33" s="163"/>
      <c r="H33" s="163"/>
      <c r="I33" s="163"/>
      <c r="J33" s="233"/>
      <c r="K33" s="23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233"/>
      <c r="AU33" s="233"/>
      <c r="AV33" s="233"/>
      <c r="AW33" s="163"/>
      <c r="AX33" s="40"/>
      <c r="AY33" s="40"/>
      <c r="AZ33" s="40"/>
      <c r="BA33" s="40"/>
      <c r="BB33" s="234"/>
    </row>
    <row r="34" spans="1:54" x14ac:dyDescent="0.2">
      <c r="A34" s="161"/>
      <c r="B34" s="161"/>
      <c r="C34" s="162"/>
      <c r="D34" s="161"/>
      <c r="E34" s="170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40"/>
      <c r="AY34" s="40"/>
      <c r="AZ34" s="40"/>
      <c r="BA34" s="40"/>
      <c r="BB34" s="234"/>
    </row>
    <row r="35" spans="1:54" x14ac:dyDescent="0.2">
      <c r="A35" s="161"/>
      <c r="B35" s="161"/>
      <c r="C35" s="162"/>
      <c r="D35" s="161"/>
      <c r="E35" s="170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40"/>
      <c r="AY35" s="40"/>
      <c r="AZ35" s="40"/>
      <c r="BA35" s="40"/>
      <c r="BB35" s="234"/>
    </row>
    <row r="36" spans="1:54" x14ac:dyDescent="0.2">
      <c r="A36" s="161"/>
      <c r="B36" s="162"/>
      <c r="C36" s="162"/>
      <c r="D36" s="161"/>
      <c r="E36" s="170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40"/>
      <c r="AY36" s="40"/>
      <c r="AZ36" s="40"/>
      <c r="BA36" s="40"/>
      <c r="BB36" s="234"/>
    </row>
    <row r="37" spans="1:54" ht="13.5" thickBot="1" x14ac:dyDescent="0.25">
      <c r="A37" s="161"/>
      <c r="B37" s="161"/>
      <c r="C37" s="162"/>
      <c r="D37" s="161"/>
      <c r="E37" s="23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236"/>
      <c r="AY37" s="236"/>
      <c r="AZ37" s="236"/>
      <c r="BA37" s="236"/>
      <c r="BB37" s="237"/>
    </row>
    <row r="38" spans="1:54" x14ac:dyDescent="0.2">
      <c r="A38" s="161"/>
      <c r="B38" s="161"/>
      <c r="C38" s="162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2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</row>
    <row r="39" spans="1:54" ht="13.5" thickBot="1" x14ac:dyDescent="0.25">
      <c r="A39" s="161"/>
      <c r="B39" s="161"/>
      <c r="C39" s="162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</row>
    <row r="40" spans="1:54" ht="13.5" thickBot="1" x14ac:dyDescent="0.25">
      <c r="A40" s="161"/>
      <c r="B40" s="411" t="s">
        <v>77</v>
      </c>
      <c r="C40" s="412"/>
      <c r="D40" s="412"/>
      <c r="E40" s="412"/>
      <c r="F40" s="413"/>
      <c r="G40" s="160"/>
      <c r="H40" s="195" t="s">
        <v>78</v>
      </c>
      <c r="I40" s="196"/>
      <c r="J40" s="196"/>
      <c r="K40" s="196"/>
      <c r="L40" s="196"/>
      <c r="M40" s="196"/>
      <c r="N40" s="196"/>
      <c r="O40" s="196"/>
      <c r="P40" s="197"/>
      <c r="R40" s="195" t="s">
        <v>79</v>
      </c>
      <c r="S40" s="196"/>
      <c r="T40" s="196"/>
      <c r="U40" s="196"/>
      <c r="V40" s="196"/>
      <c r="W40" s="196"/>
      <c r="X40" s="196"/>
      <c r="Y40" s="196"/>
      <c r="Z40" s="196"/>
      <c r="AA40" s="196"/>
      <c r="AB40" s="197"/>
      <c r="AC40" s="468">
        <v>0.3</v>
      </c>
      <c r="AD40" s="469"/>
      <c r="AE40" s="458" t="e">
        <f>AVERAGE(S43:S47)</f>
        <v>#DIV/0!</v>
      </c>
      <c r="AF40" s="459"/>
      <c r="AU40" s="161" t="s">
        <v>27</v>
      </c>
      <c r="AY40" s="161"/>
      <c r="AZ40" s="161"/>
      <c r="BA40" s="161"/>
    </row>
    <row r="41" spans="1:54" ht="13.5" thickBot="1" x14ac:dyDescent="0.25">
      <c r="A41" s="161"/>
      <c r="B41" s="173"/>
      <c r="C41" s="478" t="s">
        <v>8</v>
      </c>
      <c r="D41" s="476" t="s">
        <v>6</v>
      </c>
      <c r="E41" s="472">
        <v>0.2</v>
      </c>
      <c r="F41" s="473"/>
      <c r="G41" s="18"/>
      <c r="H41" s="171"/>
      <c r="I41" s="422" t="s">
        <v>11</v>
      </c>
      <c r="J41" s="455" t="s">
        <v>6</v>
      </c>
      <c r="K41" s="457" t="s">
        <v>98</v>
      </c>
      <c r="L41" s="417"/>
      <c r="M41" s="417"/>
      <c r="N41" s="418"/>
      <c r="O41" s="460">
        <v>0.3</v>
      </c>
      <c r="P41" s="461"/>
      <c r="R41" s="171"/>
      <c r="S41" s="422" t="s">
        <v>11</v>
      </c>
      <c r="T41" s="455" t="s">
        <v>6</v>
      </c>
      <c r="U41" s="457" t="s">
        <v>98</v>
      </c>
      <c r="V41" s="417"/>
      <c r="W41" s="417"/>
      <c r="X41" s="417"/>
      <c r="Y41" s="417"/>
      <c r="Z41" s="417"/>
      <c r="AA41" s="417"/>
      <c r="AB41" s="417"/>
      <c r="AC41" s="417"/>
      <c r="AD41" s="417"/>
      <c r="AE41" s="417"/>
      <c r="AF41" s="418"/>
      <c r="AX41" s="161"/>
      <c r="AY41" s="161"/>
      <c r="AZ41" s="161"/>
      <c r="BA41" s="161"/>
    </row>
    <row r="42" spans="1:54" ht="13.5" thickBot="1" x14ac:dyDescent="0.25">
      <c r="A42" s="161"/>
      <c r="B42" s="174"/>
      <c r="C42" s="479"/>
      <c r="D42" s="477"/>
      <c r="E42" s="364" t="e">
        <f>AVERAGE(C43:C47)</f>
        <v>#DIV/0!</v>
      </c>
      <c r="F42" s="365"/>
      <c r="G42" s="18"/>
      <c r="H42" s="172"/>
      <c r="I42" s="444"/>
      <c r="J42" s="456"/>
      <c r="K42" s="168">
        <v>1</v>
      </c>
      <c r="L42" s="138">
        <v>2</v>
      </c>
      <c r="M42" s="138">
        <v>3</v>
      </c>
      <c r="N42" s="169">
        <v>4</v>
      </c>
      <c r="O42" s="364" t="e">
        <f>AVERAGE(I43:I47)</f>
        <v>#DIV/0!</v>
      </c>
      <c r="P42" s="365"/>
      <c r="R42" s="172"/>
      <c r="S42" s="444"/>
      <c r="T42" s="456"/>
      <c r="U42" s="168">
        <v>1</v>
      </c>
      <c r="V42" s="138">
        <v>2</v>
      </c>
      <c r="W42" s="138">
        <v>3</v>
      </c>
      <c r="X42" s="138">
        <v>4</v>
      </c>
      <c r="Y42" s="138">
        <v>5</v>
      </c>
      <c r="Z42" s="138">
        <v>6</v>
      </c>
      <c r="AA42" s="138">
        <v>7</v>
      </c>
      <c r="AB42" s="138">
        <v>8</v>
      </c>
      <c r="AC42" s="138">
        <v>9</v>
      </c>
      <c r="AD42" s="138">
        <v>10</v>
      </c>
      <c r="AE42" s="138">
        <v>11</v>
      </c>
      <c r="AF42" s="169">
        <v>12</v>
      </c>
      <c r="AI42" s="480" t="s">
        <v>100</v>
      </c>
      <c r="AJ42" s="481"/>
      <c r="AK42" s="481"/>
      <c r="AL42" s="481"/>
      <c r="AM42" s="481"/>
      <c r="AN42" s="481"/>
      <c r="AO42" s="481"/>
      <c r="AP42" s="481"/>
      <c r="AQ42" s="482"/>
      <c r="AX42" s="161"/>
      <c r="AY42" s="161"/>
      <c r="AZ42" s="161"/>
      <c r="BA42" s="161"/>
    </row>
    <row r="43" spans="1:54" x14ac:dyDescent="0.2">
      <c r="A43" s="161"/>
      <c r="B43" s="253">
        <v>1</v>
      </c>
      <c r="C43" s="243"/>
      <c r="D43" s="184" t="e">
        <f>RANK(C43,$C$43:$C$47)</f>
        <v>#N/A</v>
      </c>
      <c r="F43" s="161"/>
      <c r="G43" s="161"/>
      <c r="H43" s="250">
        <v>1</v>
      </c>
      <c r="I43" s="178" t="e">
        <f>AVERAGE(K43:N43)</f>
        <v>#DIV/0!</v>
      </c>
      <c r="J43" s="181" t="e">
        <f>RANK(I43,$I$43:$I$47)</f>
        <v>#DIV/0!</v>
      </c>
      <c r="K43" s="176"/>
      <c r="L43" s="238"/>
      <c r="M43" s="238"/>
      <c r="N43" s="239"/>
      <c r="O43" s="176"/>
      <c r="P43" s="177"/>
      <c r="R43" s="250">
        <v>1</v>
      </c>
      <c r="S43" s="178" t="e">
        <f>AVERAGE(U43:AF43)</f>
        <v>#DIV/0!</v>
      </c>
      <c r="T43" s="184" t="e">
        <f>RANK(S43,$S$43:$S$47)</f>
        <v>#DIV/0!</v>
      </c>
      <c r="U43" s="238"/>
      <c r="V43" s="238"/>
      <c r="W43" s="238"/>
      <c r="X43" s="238"/>
      <c r="Y43" s="238"/>
      <c r="Z43" s="247"/>
      <c r="AA43" s="247"/>
      <c r="AB43" s="238"/>
      <c r="AC43" s="238"/>
      <c r="AD43" s="238"/>
      <c r="AE43" s="248"/>
      <c r="AF43" s="249"/>
      <c r="AI43" s="200" t="s">
        <v>208</v>
      </c>
      <c r="AJ43" s="201"/>
      <c r="AK43" s="201"/>
      <c r="AL43" s="201"/>
      <c r="AM43" s="201"/>
      <c r="AN43" s="201"/>
      <c r="AO43" s="9" t="e">
        <f>L9</f>
        <v>#DIV/0!</v>
      </c>
      <c r="AP43" s="463" t="e">
        <f>AO43*20</f>
        <v>#DIV/0!</v>
      </c>
      <c r="AQ43" s="464"/>
    </row>
    <row r="44" spans="1:54" x14ac:dyDescent="0.2">
      <c r="A44" s="161"/>
      <c r="B44" s="254">
        <v>2</v>
      </c>
      <c r="C44" s="244"/>
      <c r="D44" s="185" t="e">
        <f>RANK(C44,$C$43:$C$47)</f>
        <v>#N/A</v>
      </c>
      <c r="F44" s="161"/>
      <c r="G44" s="160"/>
      <c r="H44" s="251">
        <v>2</v>
      </c>
      <c r="I44" s="179" t="e">
        <f>AVERAGE(K44:N44)</f>
        <v>#DIV/0!</v>
      </c>
      <c r="J44" s="182" t="e">
        <f>RANK(I44,$I$43:$I$47)</f>
        <v>#DIV/0!</v>
      </c>
      <c r="K44" s="170"/>
      <c r="L44" s="163"/>
      <c r="M44" s="163"/>
      <c r="N44" s="240"/>
      <c r="O44" s="170"/>
      <c r="P44" s="163"/>
      <c r="R44" s="251">
        <v>2</v>
      </c>
      <c r="S44" s="179" t="e">
        <f>AVERAGE(U44:AF44)</f>
        <v>#DIV/0!</v>
      </c>
      <c r="T44" s="185" t="e">
        <f>RANK(S44,$S$43:$S$47)</f>
        <v>#DIV/0!</v>
      </c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40"/>
      <c r="AF44" s="234"/>
      <c r="AI44" s="200" t="s">
        <v>101</v>
      </c>
      <c r="AJ44" s="201"/>
      <c r="AK44" s="201"/>
      <c r="AL44" s="201"/>
      <c r="AM44" s="201"/>
      <c r="AN44" s="201"/>
      <c r="AO44" s="9" t="e">
        <f>E42</f>
        <v>#DIV/0!</v>
      </c>
      <c r="AP44" s="463" t="e">
        <f>AO44*20</f>
        <v>#DIV/0!</v>
      </c>
      <c r="AQ44" s="464"/>
    </row>
    <row r="45" spans="1:54" x14ac:dyDescent="0.2">
      <c r="A45" s="161"/>
      <c r="B45" s="254">
        <v>3</v>
      </c>
      <c r="C45" s="244"/>
      <c r="D45" s="185" t="e">
        <f>RANK(C45,$C$43:$C$47)</f>
        <v>#N/A</v>
      </c>
      <c r="F45" s="161"/>
      <c r="G45" s="160"/>
      <c r="H45" s="251">
        <v>3</v>
      </c>
      <c r="I45" s="179" t="e">
        <f>AVERAGE(K45:N45)</f>
        <v>#DIV/0!</v>
      </c>
      <c r="J45" s="182" t="e">
        <f>RANK(I45,$I$43:$I$47)</f>
        <v>#DIV/0!</v>
      </c>
      <c r="K45" s="170"/>
      <c r="L45" s="163"/>
      <c r="M45" s="163"/>
      <c r="N45" s="240"/>
      <c r="O45" s="170"/>
      <c r="P45" s="163"/>
      <c r="R45" s="251">
        <v>3</v>
      </c>
      <c r="S45" s="179" t="e">
        <f>AVERAGE(U45:AF45)</f>
        <v>#DIV/0!</v>
      </c>
      <c r="T45" s="185" t="e">
        <f>RANK(S45,$S$43:$S$47)</f>
        <v>#DIV/0!</v>
      </c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40"/>
      <c r="AF45" s="234"/>
      <c r="AI45" s="200" t="s">
        <v>102</v>
      </c>
      <c r="AJ45" s="201"/>
      <c r="AK45" s="201"/>
      <c r="AL45" s="201"/>
      <c r="AM45" s="201"/>
      <c r="AN45" s="201"/>
      <c r="AO45" s="9" t="e">
        <f>O42</f>
        <v>#DIV/0!</v>
      </c>
      <c r="AP45" s="463" t="e">
        <f>AO45*20</f>
        <v>#DIV/0!</v>
      </c>
      <c r="AQ45" s="464"/>
      <c r="AU45" s="467" t="str">
        <f>TI!DZ75</f>
        <v>DANIEL E. MALIGAT, JR., DIT</v>
      </c>
      <c r="AV45" s="467"/>
      <c r="AW45" s="467"/>
      <c r="AX45" s="467"/>
      <c r="AY45" s="467"/>
      <c r="AZ45" s="467"/>
      <c r="BA45" s="467"/>
      <c r="BB45" s="161"/>
    </row>
    <row r="46" spans="1:54" ht="13.5" thickBot="1" x14ac:dyDescent="0.25">
      <c r="A46" s="161"/>
      <c r="B46" s="254">
        <v>4</v>
      </c>
      <c r="C46" s="244"/>
      <c r="D46" s="185" t="e">
        <f>RANK(C46,$C$43:$C$47)</f>
        <v>#N/A</v>
      </c>
      <c r="F46" s="161"/>
      <c r="G46" s="160"/>
      <c r="H46" s="251">
        <v>4</v>
      </c>
      <c r="I46" s="179" t="e">
        <f>AVERAGE(K46:N46)</f>
        <v>#DIV/0!</v>
      </c>
      <c r="J46" s="182" t="e">
        <f>RANK(I46,$I$43:$I$47)</f>
        <v>#DIV/0!</v>
      </c>
      <c r="K46" s="170"/>
      <c r="L46" s="163"/>
      <c r="M46" s="163"/>
      <c r="N46" s="240"/>
      <c r="O46" s="170"/>
      <c r="P46" s="163"/>
      <c r="R46" s="251">
        <v>4</v>
      </c>
      <c r="S46" s="179" t="e">
        <f>AVERAGE(U46:AF46)</f>
        <v>#DIV/0!</v>
      </c>
      <c r="T46" s="185" t="e">
        <f>RANK(S46,$S$43:$S$47)</f>
        <v>#DIV/0!</v>
      </c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40"/>
      <c r="AF46" s="234"/>
      <c r="AI46" s="202" t="s">
        <v>103</v>
      </c>
      <c r="AJ46" s="203"/>
      <c r="AK46" s="203"/>
      <c r="AL46" s="203"/>
      <c r="AM46" s="203"/>
      <c r="AN46" s="203"/>
      <c r="AO46" s="199" t="e">
        <f>AE40</f>
        <v>#DIV/0!</v>
      </c>
      <c r="AP46" s="465" t="e">
        <f>AO46*20</f>
        <v>#DIV/0!</v>
      </c>
      <c r="AQ46" s="466"/>
      <c r="AU46" s="462" t="str">
        <f>TI!DZ76</f>
        <v>DEAN</v>
      </c>
      <c r="AV46" s="462"/>
      <c r="AW46" s="462"/>
      <c r="AX46" s="462"/>
      <c r="AY46" s="462"/>
      <c r="AZ46" s="462"/>
      <c r="BA46" s="462"/>
      <c r="BB46" s="162"/>
    </row>
    <row r="47" spans="1:54" ht="13.5" thickBot="1" x14ac:dyDescent="0.25">
      <c r="A47" s="161"/>
      <c r="B47" s="255">
        <v>5</v>
      </c>
      <c r="C47" s="245"/>
      <c r="D47" s="246" t="e">
        <f>RANK(C47,$C$43:$C$47)</f>
        <v>#N/A</v>
      </c>
      <c r="F47" s="161"/>
      <c r="G47" s="161"/>
      <c r="H47" s="252">
        <v>5</v>
      </c>
      <c r="I47" s="180" t="e">
        <f>AVERAGE(K47:N47)</f>
        <v>#DIV/0!</v>
      </c>
      <c r="J47" s="183" t="e">
        <f>RANK(I47,$I$43:$I$47)</f>
        <v>#DIV/0!</v>
      </c>
      <c r="K47" s="235"/>
      <c r="L47" s="175"/>
      <c r="M47" s="175"/>
      <c r="N47" s="241"/>
      <c r="O47" s="170"/>
      <c r="P47" s="163"/>
      <c r="R47" s="252">
        <v>5</v>
      </c>
      <c r="S47" s="180" t="e">
        <f>AVERAGE(U47:AF47)</f>
        <v>#DIV/0!</v>
      </c>
      <c r="T47" s="256" t="e">
        <f>RANK(S47,$S$43:$S$47)</f>
        <v>#DIV/0!</v>
      </c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241"/>
      <c r="AR47" s="162"/>
      <c r="AS47" s="161"/>
      <c r="AT47" s="161"/>
      <c r="AU47" s="161"/>
      <c r="AV47" s="161"/>
      <c r="AW47" s="161"/>
      <c r="AX47" s="161"/>
    </row>
    <row r="48" spans="1:54" x14ac:dyDescent="0.2">
      <c r="A48" s="161"/>
      <c r="E48" s="161"/>
      <c r="F48" s="161"/>
      <c r="G48" s="161"/>
      <c r="H48" s="161"/>
      <c r="I48" s="161"/>
      <c r="J48" s="161"/>
      <c r="K48" s="161"/>
      <c r="L48" s="161"/>
      <c r="M48" s="161"/>
      <c r="N48" s="164"/>
      <c r="O48" s="164"/>
      <c r="P48" s="161"/>
      <c r="Q48" s="161"/>
      <c r="AG48" s="162"/>
      <c r="AH48" s="162"/>
      <c r="AI48" s="162"/>
      <c r="AJ48" s="162"/>
      <c r="AK48" s="162"/>
      <c r="AL48" s="162"/>
      <c r="AM48" s="162"/>
      <c r="AN48" s="161"/>
      <c r="AO48" s="162"/>
      <c r="AP48" s="161"/>
      <c r="AQ48" s="162"/>
      <c r="AR48" s="162"/>
      <c r="AS48" s="161"/>
      <c r="AT48" s="161"/>
      <c r="AU48" s="161"/>
      <c r="AV48" s="161"/>
      <c r="AW48" s="161"/>
      <c r="AX48" s="161"/>
    </row>
  </sheetData>
  <sheetProtection password="CA99" sheet="1" objects="1" scenarios="1"/>
  <mergeCells count="37">
    <mergeCell ref="B1:BB1"/>
    <mergeCell ref="B2:BB2"/>
    <mergeCell ref="B3:BB3"/>
    <mergeCell ref="B5:BB5"/>
    <mergeCell ref="AP7:AX7"/>
    <mergeCell ref="F7:P7"/>
    <mergeCell ref="B9:I9"/>
    <mergeCell ref="J9:K9"/>
    <mergeCell ref="L9:M9"/>
    <mergeCell ref="E41:F41"/>
    <mergeCell ref="C10:C11"/>
    <mergeCell ref="D10:D11"/>
    <mergeCell ref="D41:D42"/>
    <mergeCell ref="C41:C42"/>
    <mergeCell ref="E10:BB10"/>
    <mergeCell ref="E17:BB17"/>
    <mergeCell ref="E24:BB24"/>
    <mergeCell ref="E31:BB31"/>
    <mergeCell ref="AI42:AQ42"/>
    <mergeCell ref="E42:F42"/>
    <mergeCell ref="O42:P42"/>
    <mergeCell ref="AC40:AD40"/>
    <mergeCell ref="AU46:BA46"/>
    <mergeCell ref="AP43:AQ43"/>
    <mergeCell ref="AP44:AQ44"/>
    <mergeCell ref="AP45:AQ45"/>
    <mergeCell ref="AP46:AQ46"/>
    <mergeCell ref="AU45:BA45"/>
    <mergeCell ref="I41:I42"/>
    <mergeCell ref="J41:J42"/>
    <mergeCell ref="K41:N41"/>
    <mergeCell ref="B40:F40"/>
    <mergeCell ref="AE40:AF40"/>
    <mergeCell ref="S41:S42"/>
    <mergeCell ref="T41:T42"/>
    <mergeCell ref="U41:AF41"/>
    <mergeCell ref="O41:P41"/>
  </mergeCells>
  <phoneticPr fontId="0" type="noConversion"/>
  <dataValidations count="3">
    <dataValidation type="whole" allowBlank="1" showInputMessage="1" showErrorMessage="1" errorTitle="Invalid Data" error="Whole number 1 to 5 only." sqref="F38:BC38" xr:uid="{00000000-0002-0000-0400-000000000000}">
      <formula1>1</formula1>
      <formula2>5</formula2>
    </dataValidation>
    <dataValidation type="whole" allowBlank="1" showErrorMessage="1" errorTitle="Invalid Data" error="Whole number 1 to 5 only." sqref="O43:P47" xr:uid="{00000000-0002-0000-0400-000001000000}">
      <formula1>1</formula1>
      <formula2>5</formula2>
    </dataValidation>
    <dataValidation type="whole" allowBlank="1" showInputMessage="1" showErrorMessage="1" errorTitle="Invalid Data" error="Whole number from 1 to 5 only." sqref="E12:BB16 E19:BB23 E26:BB30 E33:BB37 C43:C47 K43:N47 U43:AF47" xr:uid="{00000000-0002-0000-0400-000002000000}">
      <formula1>1</formula1>
      <formula2>5</formula2>
    </dataValidation>
  </dataValidations>
  <pageMargins left="0.5" right="0.25" top="0.75" bottom="0.75" header="0.5" footer="0.5"/>
  <pageSetup paperSize="291" scale="76" orientation="landscape" blackAndWhite="1" horizontalDpi="4294967295" verticalDpi="144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BB48"/>
  <sheetViews>
    <sheetView showZeros="0" view="pageBreakPreview" zoomScale="75" zoomScaleNormal="75" workbookViewId="0">
      <selection activeCell="F7" sqref="F7:P7"/>
    </sheetView>
  </sheetViews>
  <sheetFormatPr defaultRowHeight="12.75" x14ac:dyDescent="0.2"/>
  <cols>
    <col min="1" max="1" width="1.85546875" customWidth="1"/>
    <col min="2" max="2" width="2.85546875" customWidth="1"/>
    <col min="3" max="3" width="5.140625" customWidth="1"/>
    <col min="4" max="4" width="4.85546875" customWidth="1"/>
    <col min="5" max="8" width="3.85546875" customWidth="1"/>
    <col min="9" max="10" width="4.140625" customWidth="1"/>
    <col min="11" max="18" width="3.85546875" customWidth="1"/>
    <col min="19" max="20" width="4.140625" customWidth="1"/>
    <col min="21" max="39" width="3.85546875" customWidth="1"/>
    <col min="40" max="41" width="4.140625" customWidth="1"/>
    <col min="42" max="55" width="3.85546875" customWidth="1"/>
  </cols>
  <sheetData>
    <row r="1" spans="1:54" x14ac:dyDescent="0.2">
      <c r="B1" s="353" t="s">
        <v>0</v>
      </c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3"/>
      <c r="AA1" s="353"/>
      <c r="AB1" s="353"/>
      <c r="AC1" s="353"/>
      <c r="AD1" s="353"/>
      <c r="AE1" s="353"/>
      <c r="AF1" s="353"/>
      <c r="AG1" s="353"/>
      <c r="AH1" s="353"/>
      <c r="AI1" s="353"/>
      <c r="AJ1" s="353"/>
      <c r="AK1" s="353"/>
      <c r="AL1" s="353"/>
      <c r="AM1" s="353"/>
      <c r="AN1" s="353"/>
      <c r="AO1" s="353"/>
      <c r="AP1" s="353"/>
      <c r="AQ1" s="353"/>
      <c r="AR1" s="353"/>
      <c r="AS1" s="353"/>
      <c r="AT1" s="353"/>
      <c r="AU1" s="353"/>
      <c r="AV1" s="353"/>
      <c r="AW1" s="353"/>
      <c r="AX1" s="353"/>
      <c r="AY1" s="353"/>
      <c r="AZ1" s="353"/>
      <c r="BA1" s="353"/>
      <c r="BB1" s="353"/>
    </row>
    <row r="2" spans="1:54" x14ac:dyDescent="0.2">
      <c r="B2" s="353" t="s">
        <v>1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353"/>
      <c r="W2" s="353"/>
      <c r="X2" s="353"/>
      <c r="Y2" s="353"/>
      <c r="Z2" s="353"/>
      <c r="AA2" s="353"/>
      <c r="AB2" s="353"/>
      <c r="AC2" s="353"/>
      <c r="AD2" s="353"/>
      <c r="AE2" s="353"/>
      <c r="AF2" s="353"/>
      <c r="AG2" s="353"/>
      <c r="AH2" s="353"/>
      <c r="AI2" s="353"/>
      <c r="AJ2" s="353"/>
      <c r="AK2" s="353"/>
      <c r="AL2" s="353"/>
      <c r="AM2" s="353"/>
      <c r="AN2" s="353"/>
      <c r="AO2" s="353"/>
      <c r="AP2" s="353"/>
      <c r="AQ2" s="353"/>
      <c r="AR2" s="353"/>
      <c r="AS2" s="353"/>
      <c r="AT2" s="353"/>
      <c r="AU2" s="353"/>
      <c r="AV2" s="353"/>
      <c r="AW2" s="353"/>
      <c r="AX2" s="353"/>
      <c r="AY2" s="353"/>
      <c r="AZ2" s="353"/>
      <c r="BA2" s="353"/>
      <c r="BB2" s="353"/>
    </row>
    <row r="3" spans="1:54" x14ac:dyDescent="0.2">
      <c r="B3" s="353" t="s">
        <v>2</v>
      </c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353"/>
      <c r="W3" s="353"/>
      <c r="X3" s="353"/>
      <c r="Y3" s="353"/>
      <c r="Z3" s="353"/>
      <c r="AA3" s="353"/>
      <c r="AB3" s="353"/>
      <c r="AC3" s="353"/>
      <c r="AD3" s="353"/>
      <c r="AE3" s="353"/>
      <c r="AF3" s="353"/>
      <c r="AG3" s="353"/>
      <c r="AH3" s="353"/>
      <c r="AI3" s="353"/>
      <c r="AJ3" s="353"/>
      <c r="AK3" s="353"/>
      <c r="AL3" s="353"/>
      <c r="AM3" s="353"/>
      <c r="AN3" s="353"/>
      <c r="AO3" s="353"/>
      <c r="AP3" s="353"/>
      <c r="AQ3" s="353"/>
      <c r="AR3" s="353"/>
      <c r="AS3" s="353"/>
      <c r="AT3" s="353"/>
      <c r="AU3" s="353"/>
      <c r="AV3" s="353"/>
      <c r="AW3" s="353"/>
      <c r="AX3" s="353"/>
      <c r="AY3" s="353"/>
      <c r="AZ3" s="353"/>
      <c r="BA3" s="353"/>
      <c r="BB3" s="353"/>
    </row>
    <row r="5" spans="1:54" x14ac:dyDescent="0.2">
      <c r="B5" s="350" t="s">
        <v>99</v>
      </c>
      <c r="C5" s="350"/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  <c r="AK5" s="350"/>
      <c r="AL5" s="350"/>
      <c r="AM5" s="350"/>
      <c r="AN5" s="350"/>
      <c r="AO5" s="350"/>
      <c r="AP5" s="350"/>
      <c r="AQ5" s="350"/>
      <c r="AR5" s="350"/>
      <c r="AS5" s="350"/>
      <c r="AT5" s="350"/>
      <c r="AU5" s="350"/>
      <c r="AV5" s="350"/>
      <c r="AW5" s="350"/>
      <c r="AX5" s="350"/>
      <c r="AY5" s="350"/>
      <c r="AZ5" s="350"/>
      <c r="BA5" s="350"/>
      <c r="BB5" s="350"/>
    </row>
    <row r="6" spans="1:54" x14ac:dyDescent="0.2"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</row>
    <row r="7" spans="1:54" x14ac:dyDescent="0.2">
      <c r="B7" t="s">
        <v>3</v>
      </c>
      <c r="F7" s="407" t="e">
        <f>TI!DC6:DM6</f>
        <v>#VALUE!</v>
      </c>
      <c r="G7" s="408"/>
      <c r="H7" s="408"/>
      <c r="I7" s="408"/>
      <c r="J7" s="408"/>
      <c r="K7" s="408"/>
      <c r="L7" s="408"/>
      <c r="M7" s="408"/>
      <c r="N7" s="408"/>
      <c r="O7" s="408"/>
      <c r="P7" s="409"/>
      <c r="AK7" t="s">
        <v>4</v>
      </c>
      <c r="AP7" s="407" t="e">
        <f>TI!MG6:MO6</f>
        <v>#VALUE!</v>
      </c>
      <c r="AQ7" s="408"/>
      <c r="AR7" s="408"/>
      <c r="AS7" s="408"/>
      <c r="AT7" s="408"/>
      <c r="AU7" s="408"/>
      <c r="AV7" s="408"/>
      <c r="AW7" s="408"/>
      <c r="AX7" s="409"/>
    </row>
    <row r="8" spans="1:54" ht="13.5" thickBot="1" x14ac:dyDescent="0.25">
      <c r="F8" s="1"/>
      <c r="G8" s="1"/>
      <c r="H8" s="1"/>
      <c r="I8" s="1"/>
      <c r="J8" s="1"/>
      <c r="K8" s="1"/>
      <c r="L8" s="1"/>
      <c r="M8" s="1"/>
      <c r="N8" s="1"/>
      <c r="O8" s="1"/>
      <c r="P8" s="1"/>
      <c r="AP8" s="1"/>
      <c r="AQ8" s="1"/>
      <c r="AR8" s="1"/>
      <c r="AS8" s="1"/>
      <c r="AT8" s="1"/>
      <c r="AU8" s="1"/>
      <c r="AV8" s="1"/>
      <c r="AW8" s="1"/>
      <c r="AX8" s="1"/>
    </row>
    <row r="9" spans="1:54" ht="13.5" thickBot="1" x14ac:dyDescent="0.25">
      <c r="A9" s="161"/>
      <c r="B9" s="411" t="s">
        <v>76</v>
      </c>
      <c r="C9" s="412"/>
      <c r="D9" s="412"/>
      <c r="E9" s="412"/>
      <c r="F9" s="412"/>
      <c r="G9" s="412"/>
      <c r="H9" s="412"/>
      <c r="I9" s="413"/>
      <c r="J9" s="483">
        <f>TR!J9</f>
        <v>0.2</v>
      </c>
      <c r="K9" s="484"/>
      <c r="L9" s="470" t="e">
        <f>AVERAGE(C12:C16)</f>
        <v>#DIV/0!</v>
      </c>
      <c r="M9" s="471"/>
      <c r="N9" s="160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0"/>
      <c r="AY9" s="41"/>
    </row>
    <row r="10" spans="1:54" x14ac:dyDescent="0.2">
      <c r="A10" s="161"/>
      <c r="B10" s="171"/>
      <c r="C10" s="422" t="s">
        <v>11</v>
      </c>
      <c r="D10" s="474" t="s">
        <v>6</v>
      </c>
      <c r="E10" s="457" t="s">
        <v>98</v>
      </c>
      <c r="F10" s="417"/>
      <c r="G10" s="417"/>
      <c r="H10" s="417"/>
      <c r="I10" s="417"/>
      <c r="J10" s="417"/>
      <c r="K10" s="417"/>
      <c r="L10" s="417"/>
      <c r="M10" s="417"/>
      <c r="N10" s="417"/>
      <c r="O10" s="417"/>
      <c r="P10" s="417"/>
      <c r="Q10" s="417"/>
      <c r="R10" s="417"/>
      <c r="S10" s="417"/>
      <c r="T10" s="417"/>
      <c r="U10" s="417"/>
      <c r="V10" s="417"/>
      <c r="W10" s="417"/>
      <c r="X10" s="417"/>
      <c r="Y10" s="417"/>
      <c r="Z10" s="417"/>
      <c r="AA10" s="417"/>
      <c r="AB10" s="417"/>
      <c r="AC10" s="417"/>
      <c r="AD10" s="417"/>
      <c r="AE10" s="417"/>
      <c r="AF10" s="417"/>
      <c r="AG10" s="417"/>
      <c r="AH10" s="417"/>
      <c r="AI10" s="417"/>
      <c r="AJ10" s="417"/>
      <c r="AK10" s="417"/>
      <c r="AL10" s="417"/>
      <c r="AM10" s="417"/>
      <c r="AN10" s="417"/>
      <c r="AO10" s="417"/>
      <c r="AP10" s="417"/>
      <c r="AQ10" s="417"/>
      <c r="AR10" s="417"/>
      <c r="AS10" s="417"/>
      <c r="AT10" s="417"/>
      <c r="AU10" s="417"/>
      <c r="AV10" s="417"/>
      <c r="AW10" s="417"/>
      <c r="AX10" s="417"/>
      <c r="AY10" s="417"/>
      <c r="AZ10" s="417"/>
      <c r="BA10" s="417"/>
      <c r="BB10" s="418"/>
    </row>
    <row r="11" spans="1:54" ht="13.5" thickBot="1" x14ac:dyDescent="0.25">
      <c r="A11" s="161"/>
      <c r="B11" s="172"/>
      <c r="C11" s="444"/>
      <c r="D11" s="475"/>
      <c r="E11" s="168">
        <v>1</v>
      </c>
      <c r="F11" s="138">
        <v>2</v>
      </c>
      <c r="G11" s="138">
        <v>3</v>
      </c>
      <c r="H11" s="138">
        <v>4</v>
      </c>
      <c r="I11" s="138">
        <v>5</v>
      </c>
      <c r="J11" s="138">
        <v>6</v>
      </c>
      <c r="K11" s="138">
        <v>7</v>
      </c>
      <c r="L11" s="138">
        <v>8</v>
      </c>
      <c r="M11" s="138">
        <v>9</v>
      </c>
      <c r="N11" s="138">
        <v>10</v>
      </c>
      <c r="O11" s="138">
        <v>11</v>
      </c>
      <c r="P11" s="138">
        <v>12</v>
      </c>
      <c r="Q11" s="138">
        <v>13</v>
      </c>
      <c r="R11" s="138">
        <v>14</v>
      </c>
      <c r="S11" s="138">
        <v>15</v>
      </c>
      <c r="T11" s="138">
        <v>16</v>
      </c>
      <c r="U11" s="138">
        <v>17</v>
      </c>
      <c r="V11" s="138">
        <v>18</v>
      </c>
      <c r="W11" s="138">
        <v>19</v>
      </c>
      <c r="X11" s="138">
        <v>20</v>
      </c>
      <c r="Y11" s="138">
        <v>21</v>
      </c>
      <c r="Z11" s="138">
        <v>22</v>
      </c>
      <c r="AA11" s="138">
        <v>23</v>
      </c>
      <c r="AB11" s="138">
        <v>24</v>
      </c>
      <c r="AC11" s="138">
        <v>25</v>
      </c>
      <c r="AD11" s="138">
        <v>26</v>
      </c>
      <c r="AE11" s="138">
        <v>27</v>
      </c>
      <c r="AF11" s="138">
        <v>28</v>
      </c>
      <c r="AG11" s="138">
        <v>29</v>
      </c>
      <c r="AH11" s="138">
        <v>30</v>
      </c>
      <c r="AI11" s="138">
        <v>31</v>
      </c>
      <c r="AJ11" s="138">
        <v>32</v>
      </c>
      <c r="AK11" s="138">
        <v>33</v>
      </c>
      <c r="AL11" s="138">
        <v>34</v>
      </c>
      <c r="AM11" s="138">
        <v>35</v>
      </c>
      <c r="AN11" s="138">
        <v>36</v>
      </c>
      <c r="AO11" s="138">
        <v>37</v>
      </c>
      <c r="AP11" s="138">
        <v>38</v>
      </c>
      <c r="AQ11" s="138">
        <v>39</v>
      </c>
      <c r="AR11" s="138">
        <v>40</v>
      </c>
      <c r="AS11" s="138">
        <v>41</v>
      </c>
      <c r="AT11" s="138">
        <v>42</v>
      </c>
      <c r="AU11" s="138">
        <v>43</v>
      </c>
      <c r="AV11" s="138">
        <v>44</v>
      </c>
      <c r="AW11" s="138">
        <v>45</v>
      </c>
      <c r="AX11" s="138">
        <v>46</v>
      </c>
      <c r="AY11" s="138">
        <v>47</v>
      </c>
      <c r="AZ11" s="138">
        <v>48</v>
      </c>
      <c r="BA11" s="138">
        <v>49</v>
      </c>
      <c r="BB11" s="169">
        <v>50</v>
      </c>
    </row>
    <row r="12" spans="1:54" x14ac:dyDescent="0.2">
      <c r="A12" s="161"/>
      <c r="B12" s="165">
        <v>1</v>
      </c>
      <c r="C12" s="178" t="e">
        <f>AVERAGE(E12:BB12,E19:BB19,E26:BB26,E33:BB33)</f>
        <v>#DIV/0!</v>
      </c>
      <c r="D12" s="181" t="e">
        <f>RANK(C12,$C$12:$C$16)</f>
        <v>#DIV/0!</v>
      </c>
      <c r="E12" s="170"/>
      <c r="F12" s="163"/>
      <c r="G12" s="163"/>
      <c r="H12" s="163"/>
      <c r="I12" s="163"/>
      <c r="J12" s="233"/>
      <c r="K12" s="23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233"/>
      <c r="AU12" s="233"/>
      <c r="AV12" s="233"/>
      <c r="AW12" s="163"/>
      <c r="AX12" s="40"/>
      <c r="AY12" s="40"/>
      <c r="AZ12" s="40"/>
      <c r="BA12" s="40"/>
      <c r="BB12" s="234"/>
    </row>
    <row r="13" spans="1:54" x14ac:dyDescent="0.2">
      <c r="A13" s="161"/>
      <c r="B13" s="166">
        <v>2</v>
      </c>
      <c r="C13" s="179" t="e">
        <f>AVERAGE(E13:BB13,E20:BB20,E27:BB27,E34:BB34)</f>
        <v>#DIV/0!</v>
      </c>
      <c r="D13" s="182" t="e">
        <f>RANK(C13,$C$12:$C$16)</f>
        <v>#DIV/0!</v>
      </c>
      <c r="E13" s="170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40"/>
      <c r="AY13" s="40"/>
      <c r="AZ13" s="40"/>
      <c r="BA13" s="40"/>
      <c r="BB13" s="234"/>
    </row>
    <row r="14" spans="1:54" x14ac:dyDescent="0.2">
      <c r="A14" s="161"/>
      <c r="B14" s="166">
        <v>3</v>
      </c>
      <c r="C14" s="179" t="e">
        <f>AVERAGE(E14:BB14,E21:BB21,E28:BB28,E35:BB35)</f>
        <v>#DIV/0!</v>
      </c>
      <c r="D14" s="182" t="e">
        <f>RANK(C14,$C$12:$C$16)</f>
        <v>#DIV/0!</v>
      </c>
      <c r="E14" s="170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40"/>
      <c r="AY14" s="40"/>
      <c r="AZ14" s="40"/>
      <c r="BA14" s="40"/>
      <c r="BB14" s="234"/>
    </row>
    <row r="15" spans="1:54" x14ac:dyDescent="0.2">
      <c r="A15" s="161"/>
      <c r="B15" s="166">
        <v>4</v>
      </c>
      <c r="C15" s="179" t="e">
        <f>AVERAGE(E15:BB15,E22:BB22,E29:BB29,E36:BB36)</f>
        <v>#DIV/0!</v>
      </c>
      <c r="D15" s="182" t="e">
        <f>RANK(C15,$C$12:$C$16)</f>
        <v>#DIV/0!</v>
      </c>
      <c r="E15" s="170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40"/>
      <c r="AY15" s="40"/>
      <c r="AZ15" s="40"/>
      <c r="BA15" s="40"/>
      <c r="BB15" s="234"/>
    </row>
    <row r="16" spans="1:54" ht="13.5" thickBot="1" x14ac:dyDescent="0.25">
      <c r="A16" s="161"/>
      <c r="B16" s="167">
        <v>5</v>
      </c>
      <c r="C16" s="180" t="e">
        <f>AVERAGE(E16:BB16,E23:BB23,E30:BB30,E37:BB37)</f>
        <v>#DIV/0!</v>
      </c>
      <c r="D16" s="183" t="e">
        <f>RANK(C16,$C$12:$C$16)</f>
        <v>#DIV/0!</v>
      </c>
      <c r="E16" s="170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40"/>
      <c r="AY16" s="40"/>
      <c r="AZ16" s="40"/>
      <c r="BA16" s="40"/>
      <c r="BB16" s="234"/>
    </row>
    <row r="17" spans="1:54" x14ac:dyDescent="0.2">
      <c r="A17" s="161"/>
      <c r="B17" s="161"/>
      <c r="C17" s="162"/>
      <c r="D17" s="161"/>
      <c r="E17" s="457" t="s">
        <v>98</v>
      </c>
      <c r="F17" s="417"/>
      <c r="G17" s="417"/>
      <c r="H17" s="417"/>
      <c r="I17" s="417"/>
      <c r="J17" s="417"/>
      <c r="K17" s="417"/>
      <c r="L17" s="417"/>
      <c r="M17" s="417"/>
      <c r="N17" s="417"/>
      <c r="O17" s="417"/>
      <c r="P17" s="417"/>
      <c r="Q17" s="417"/>
      <c r="R17" s="417"/>
      <c r="S17" s="417"/>
      <c r="T17" s="417"/>
      <c r="U17" s="417"/>
      <c r="V17" s="417"/>
      <c r="W17" s="417"/>
      <c r="X17" s="417"/>
      <c r="Y17" s="417"/>
      <c r="Z17" s="417"/>
      <c r="AA17" s="417"/>
      <c r="AB17" s="417"/>
      <c r="AC17" s="417"/>
      <c r="AD17" s="417"/>
      <c r="AE17" s="417"/>
      <c r="AF17" s="417"/>
      <c r="AG17" s="417"/>
      <c r="AH17" s="417"/>
      <c r="AI17" s="417"/>
      <c r="AJ17" s="417"/>
      <c r="AK17" s="417"/>
      <c r="AL17" s="417"/>
      <c r="AM17" s="417"/>
      <c r="AN17" s="417"/>
      <c r="AO17" s="417"/>
      <c r="AP17" s="417"/>
      <c r="AQ17" s="417"/>
      <c r="AR17" s="417"/>
      <c r="AS17" s="417"/>
      <c r="AT17" s="417"/>
      <c r="AU17" s="417"/>
      <c r="AV17" s="417"/>
      <c r="AW17" s="417"/>
      <c r="AX17" s="417"/>
      <c r="AY17" s="417"/>
      <c r="AZ17" s="417"/>
      <c r="BA17" s="417"/>
      <c r="BB17" s="418"/>
    </row>
    <row r="18" spans="1:54" ht="13.5" thickBot="1" x14ac:dyDescent="0.25">
      <c r="A18" s="161"/>
      <c r="B18" s="161"/>
      <c r="C18" s="161"/>
      <c r="D18" s="161"/>
      <c r="E18" s="168">
        <v>51</v>
      </c>
      <c r="F18" s="138">
        <v>52</v>
      </c>
      <c r="G18" s="138">
        <v>53</v>
      </c>
      <c r="H18" s="138">
        <v>54</v>
      </c>
      <c r="I18" s="138">
        <v>55</v>
      </c>
      <c r="J18" s="138">
        <v>56</v>
      </c>
      <c r="K18" s="138">
        <v>57</v>
      </c>
      <c r="L18" s="138">
        <v>58</v>
      </c>
      <c r="M18" s="138">
        <v>59</v>
      </c>
      <c r="N18" s="138">
        <v>60</v>
      </c>
      <c r="O18" s="138">
        <v>61</v>
      </c>
      <c r="P18" s="138">
        <v>62</v>
      </c>
      <c r="Q18" s="138">
        <v>63</v>
      </c>
      <c r="R18" s="138">
        <v>64</v>
      </c>
      <c r="S18" s="138">
        <v>65</v>
      </c>
      <c r="T18" s="138">
        <v>66</v>
      </c>
      <c r="U18" s="138">
        <v>67</v>
      </c>
      <c r="V18" s="138">
        <v>68</v>
      </c>
      <c r="W18" s="138">
        <v>69</v>
      </c>
      <c r="X18" s="138">
        <v>70</v>
      </c>
      <c r="Y18" s="138">
        <v>71</v>
      </c>
      <c r="Z18" s="138">
        <v>72</v>
      </c>
      <c r="AA18" s="138">
        <v>73</v>
      </c>
      <c r="AB18" s="138">
        <v>74</v>
      </c>
      <c r="AC18" s="138">
        <v>75</v>
      </c>
      <c r="AD18" s="138">
        <v>76</v>
      </c>
      <c r="AE18" s="138">
        <v>77</v>
      </c>
      <c r="AF18" s="138">
        <v>78</v>
      </c>
      <c r="AG18" s="138">
        <v>79</v>
      </c>
      <c r="AH18" s="138">
        <v>80</v>
      </c>
      <c r="AI18" s="138">
        <v>81</v>
      </c>
      <c r="AJ18" s="138">
        <v>82</v>
      </c>
      <c r="AK18" s="138">
        <v>83</v>
      </c>
      <c r="AL18" s="138">
        <v>84</v>
      </c>
      <c r="AM18" s="138">
        <v>85</v>
      </c>
      <c r="AN18" s="138">
        <v>86</v>
      </c>
      <c r="AO18" s="138">
        <v>87</v>
      </c>
      <c r="AP18" s="138">
        <v>88</v>
      </c>
      <c r="AQ18" s="138">
        <v>89</v>
      </c>
      <c r="AR18" s="138">
        <v>90</v>
      </c>
      <c r="AS18" s="138">
        <v>91</v>
      </c>
      <c r="AT18" s="138">
        <v>92</v>
      </c>
      <c r="AU18" s="138">
        <v>93</v>
      </c>
      <c r="AV18" s="138">
        <v>94</v>
      </c>
      <c r="AW18" s="138">
        <v>95</v>
      </c>
      <c r="AX18" s="138">
        <v>96</v>
      </c>
      <c r="AY18" s="138">
        <v>97</v>
      </c>
      <c r="AZ18" s="138">
        <v>98</v>
      </c>
      <c r="BA18" s="138">
        <v>99</v>
      </c>
      <c r="BB18" s="169">
        <v>100</v>
      </c>
    </row>
    <row r="19" spans="1:54" x14ac:dyDescent="0.2">
      <c r="A19" s="161"/>
      <c r="B19" s="161"/>
      <c r="C19" s="162"/>
      <c r="D19" s="161"/>
      <c r="E19" s="170"/>
      <c r="F19" s="163"/>
      <c r="G19" s="163"/>
      <c r="H19" s="163"/>
      <c r="I19" s="163"/>
      <c r="J19" s="233"/>
      <c r="K19" s="23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233"/>
      <c r="AU19" s="233"/>
      <c r="AV19" s="233"/>
      <c r="AW19" s="163"/>
      <c r="AX19" s="40"/>
      <c r="AY19" s="40"/>
      <c r="AZ19" s="40"/>
      <c r="BA19" s="40"/>
      <c r="BB19" s="234"/>
    </row>
    <row r="20" spans="1:54" x14ac:dyDescent="0.2">
      <c r="A20" s="161"/>
      <c r="B20" s="161"/>
      <c r="C20" s="162"/>
      <c r="D20" s="161"/>
      <c r="E20" s="170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40"/>
      <c r="AY20" s="40"/>
      <c r="AZ20" s="40"/>
      <c r="BA20" s="40"/>
      <c r="BB20" s="234"/>
    </row>
    <row r="21" spans="1:54" x14ac:dyDescent="0.2">
      <c r="A21" s="161"/>
      <c r="B21" s="161"/>
      <c r="C21" s="162"/>
      <c r="D21" s="161"/>
      <c r="E21" s="170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40"/>
      <c r="AY21" s="40"/>
      <c r="AZ21" s="40"/>
      <c r="BA21" s="40"/>
      <c r="BB21" s="234"/>
    </row>
    <row r="22" spans="1:54" x14ac:dyDescent="0.2">
      <c r="A22" s="161"/>
      <c r="B22" s="161"/>
      <c r="C22" s="162"/>
      <c r="D22" s="161"/>
      <c r="E22" s="170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40"/>
      <c r="AY22" s="40"/>
      <c r="AZ22" s="40"/>
      <c r="BA22" s="40"/>
      <c r="BB22" s="234"/>
    </row>
    <row r="23" spans="1:54" ht="13.5" thickBot="1" x14ac:dyDescent="0.25">
      <c r="A23" s="161"/>
      <c r="B23" s="161"/>
      <c r="C23" s="162"/>
      <c r="D23" s="161"/>
      <c r="E23" s="170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40"/>
      <c r="AY23" s="40"/>
      <c r="AZ23" s="40"/>
      <c r="BA23" s="40"/>
      <c r="BB23" s="234"/>
    </row>
    <row r="24" spans="1:54" x14ac:dyDescent="0.2">
      <c r="A24" s="161"/>
      <c r="B24" s="161"/>
      <c r="C24" s="161"/>
      <c r="D24" s="161"/>
      <c r="E24" s="457" t="s">
        <v>98</v>
      </c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417"/>
      <c r="S24" s="417"/>
      <c r="T24" s="417"/>
      <c r="U24" s="417"/>
      <c r="V24" s="417"/>
      <c r="W24" s="417"/>
      <c r="X24" s="417"/>
      <c r="Y24" s="417"/>
      <c r="Z24" s="417"/>
      <c r="AA24" s="417"/>
      <c r="AB24" s="417"/>
      <c r="AC24" s="417"/>
      <c r="AD24" s="417"/>
      <c r="AE24" s="417"/>
      <c r="AF24" s="417"/>
      <c r="AG24" s="417"/>
      <c r="AH24" s="417"/>
      <c r="AI24" s="417"/>
      <c r="AJ24" s="417"/>
      <c r="AK24" s="417"/>
      <c r="AL24" s="417"/>
      <c r="AM24" s="417"/>
      <c r="AN24" s="417"/>
      <c r="AO24" s="417"/>
      <c r="AP24" s="417"/>
      <c r="AQ24" s="417"/>
      <c r="AR24" s="417"/>
      <c r="AS24" s="417"/>
      <c r="AT24" s="417"/>
      <c r="AU24" s="417"/>
      <c r="AV24" s="417"/>
      <c r="AW24" s="417"/>
      <c r="AX24" s="417"/>
      <c r="AY24" s="417"/>
      <c r="AZ24" s="417"/>
      <c r="BA24" s="417"/>
      <c r="BB24" s="418"/>
    </row>
    <row r="25" spans="1:54" ht="13.5" thickBot="1" x14ac:dyDescent="0.25">
      <c r="A25" s="161"/>
      <c r="B25" s="161"/>
      <c r="C25" s="162"/>
      <c r="D25" s="161"/>
      <c r="E25" s="168">
        <v>101</v>
      </c>
      <c r="F25" s="138">
        <v>102</v>
      </c>
      <c r="G25" s="138">
        <v>103</v>
      </c>
      <c r="H25" s="138">
        <v>104</v>
      </c>
      <c r="I25" s="138">
        <v>105</v>
      </c>
      <c r="J25" s="138">
        <v>106</v>
      </c>
      <c r="K25" s="138">
        <v>107</v>
      </c>
      <c r="L25" s="138">
        <v>108</v>
      </c>
      <c r="M25" s="138">
        <v>109</v>
      </c>
      <c r="N25" s="138">
        <v>110</v>
      </c>
      <c r="O25" s="138">
        <v>111</v>
      </c>
      <c r="P25" s="138">
        <v>112</v>
      </c>
      <c r="Q25" s="138">
        <v>113</v>
      </c>
      <c r="R25" s="138">
        <v>114</v>
      </c>
      <c r="S25" s="138">
        <v>115</v>
      </c>
      <c r="T25" s="138">
        <v>116</v>
      </c>
      <c r="U25" s="138">
        <v>117</v>
      </c>
      <c r="V25" s="138">
        <v>118</v>
      </c>
      <c r="W25" s="138">
        <v>119</v>
      </c>
      <c r="X25" s="138">
        <v>120</v>
      </c>
      <c r="Y25" s="138">
        <v>121</v>
      </c>
      <c r="Z25" s="138">
        <v>122</v>
      </c>
      <c r="AA25" s="138">
        <v>123</v>
      </c>
      <c r="AB25" s="138">
        <v>124</v>
      </c>
      <c r="AC25" s="138">
        <v>125</v>
      </c>
      <c r="AD25" s="138">
        <v>126</v>
      </c>
      <c r="AE25" s="138">
        <v>127</v>
      </c>
      <c r="AF25" s="138">
        <v>128</v>
      </c>
      <c r="AG25" s="138">
        <v>129</v>
      </c>
      <c r="AH25" s="138">
        <v>130</v>
      </c>
      <c r="AI25" s="138">
        <v>131</v>
      </c>
      <c r="AJ25" s="138">
        <v>132</v>
      </c>
      <c r="AK25" s="138">
        <v>133</v>
      </c>
      <c r="AL25" s="138">
        <v>134</v>
      </c>
      <c r="AM25" s="138">
        <v>135</v>
      </c>
      <c r="AN25" s="138">
        <v>136</v>
      </c>
      <c r="AO25" s="138">
        <v>137</v>
      </c>
      <c r="AP25" s="138">
        <v>138</v>
      </c>
      <c r="AQ25" s="138">
        <v>139</v>
      </c>
      <c r="AR25" s="138">
        <v>140</v>
      </c>
      <c r="AS25" s="138">
        <v>141</v>
      </c>
      <c r="AT25" s="138">
        <v>142</v>
      </c>
      <c r="AU25" s="138">
        <v>143</v>
      </c>
      <c r="AV25" s="138">
        <v>144</v>
      </c>
      <c r="AW25" s="138">
        <v>145</v>
      </c>
      <c r="AX25" s="138">
        <v>146</v>
      </c>
      <c r="AY25" s="138">
        <v>147</v>
      </c>
      <c r="AZ25" s="138">
        <v>148</v>
      </c>
      <c r="BA25" s="138">
        <v>149</v>
      </c>
      <c r="BB25" s="169">
        <v>150</v>
      </c>
    </row>
    <row r="26" spans="1:54" x14ac:dyDescent="0.2">
      <c r="A26" s="161"/>
      <c r="B26" s="161"/>
      <c r="C26" s="162"/>
      <c r="D26" s="161"/>
      <c r="E26" s="170"/>
      <c r="F26" s="163"/>
      <c r="G26" s="163"/>
      <c r="H26" s="163"/>
      <c r="I26" s="163"/>
      <c r="J26" s="233"/>
      <c r="K26" s="23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233"/>
      <c r="AU26" s="233"/>
      <c r="AV26" s="233"/>
      <c r="AW26" s="163"/>
      <c r="AX26" s="40"/>
      <c r="AY26" s="40"/>
      <c r="AZ26" s="40"/>
      <c r="BA26" s="40"/>
      <c r="BB26" s="234"/>
    </row>
    <row r="27" spans="1:54" x14ac:dyDescent="0.2">
      <c r="A27" s="161"/>
      <c r="B27" s="161"/>
      <c r="C27" s="162"/>
      <c r="D27" s="161"/>
      <c r="E27" s="170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40"/>
      <c r="AY27" s="40"/>
      <c r="AZ27" s="40"/>
      <c r="BA27" s="40"/>
      <c r="BB27" s="234"/>
    </row>
    <row r="28" spans="1:54" x14ac:dyDescent="0.2">
      <c r="A28" s="161"/>
      <c r="B28" s="161"/>
      <c r="C28" s="162"/>
      <c r="D28" s="161"/>
      <c r="E28" s="170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40"/>
      <c r="AY28" s="40"/>
      <c r="AZ28" s="40"/>
      <c r="BA28" s="40"/>
      <c r="BB28" s="234"/>
    </row>
    <row r="29" spans="1:54" x14ac:dyDescent="0.2">
      <c r="A29" s="161"/>
      <c r="B29" s="161"/>
      <c r="C29" s="162"/>
      <c r="D29" s="161"/>
      <c r="E29" s="170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40"/>
      <c r="AY29" s="40"/>
      <c r="AZ29" s="40"/>
      <c r="BA29" s="40"/>
      <c r="BB29" s="234"/>
    </row>
    <row r="30" spans="1:54" ht="13.5" thickBot="1" x14ac:dyDescent="0.25">
      <c r="A30" s="161"/>
      <c r="B30" s="161"/>
      <c r="C30" s="161"/>
      <c r="D30" s="161"/>
      <c r="E30" s="170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40"/>
      <c r="AY30" s="40"/>
      <c r="AZ30" s="40"/>
      <c r="BA30" s="40"/>
      <c r="BB30" s="234"/>
    </row>
    <row r="31" spans="1:54" x14ac:dyDescent="0.2">
      <c r="A31" s="161"/>
      <c r="B31" s="161"/>
      <c r="C31" s="162"/>
      <c r="D31" s="161"/>
      <c r="E31" s="457" t="s">
        <v>98</v>
      </c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  <c r="AF31" s="417"/>
      <c r="AG31" s="417"/>
      <c r="AH31" s="417"/>
      <c r="AI31" s="417"/>
      <c r="AJ31" s="417"/>
      <c r="AK31" s="417"/>
      <c r="AL31" s="417"/>
      <c r="AM31" s="417"/>
      <c r="AN31" s="417"/>
      <c r="AO31" s="417"/>
      <c r="AP31" s="417"/>
      <c r="AQ31" s="417"/>
      <c r="AR31" s="417"/>
      <c r="AS31" s="417"/>
      <c r="AT31" s="417"/>
      <c r="AU31" s="417"/>
      <c r="AV31" s="417"/>
      <c r="AW31" s="417"/>
      <c r="AX31" s="417"/>
      <c r="AY31" s="417"/>
      <c r="AZ31" s="417"/>
      <c r="BA31" s="417"/>
      <c r="BB31" s="418"/>
    </row>
    <row r="32" spans="1:54" ht="13.5" thickBot="1" x14ac:dyDescent="0.25">
      <c r="A32" s="161"/>
      <c r="B32" s="161"/>
      <c r="C32" s="162"/>
      <c r="D32" s="161"/>
      <c r="E32" s="168">
        <v>151</v>
      </c>
      <c r="F32" s="138">
        <v>152</v>
      </c>
      <c r="G32" s="138">
        <v>153</v>
      </c>
      <c r="H32" s="138">
        <v>154</v>
      </c>
      <c r="I32" s="138">
        <v>155</v>
      </c>
      <c r="J32" s="138">
        <v>156</v>
      </c>
      <c r="K32" s="138">
        <v>157</v>
      </c>
      <c r="L32" s="138">
        <v>158</v>
      </c>
      <c r="M32" s="138">
        <v>159</v>
      </c>
      <c r="N32" s="138">
        <v>160</v>
      </c>
      <c r="O32" s="138">
        <v>161</v>
      </c>
      <c r="P32" s="138">
        <v>162</v>
      </c>
      <c r="Q32" s="138">
        <v>163</v>
      </c>
      <c r="R32" s="138">
        <v>164</v>
      </c>
      <c r="S32" s="138">
        <v>165</v>
      </c>
      <c r="T32" s="138">
        <v>166</v>
      </c>
      <c r="U32" s="138">
        <v>167</v>
      </c>
      <c r="V32" s="138">
        <v>168</v>
      </c>
      <c r="W32" s="138">
        <v>169</v>
      </c>
      <c r="X32" s="138">
        <v>170</v>
      </c>
      <c r="Y32" s="138">
        <v>171</v>
      </c>
      <c r="Z32" s="138">
        <v>172</v>
      </c>
      <c r="AA32" s="138">
        <v>173</v>
      </c>
      <c r="AB32" s="138">
        <v>174</v>
      </c>
      <c r="AC32" s="138">
        <v>175</v>
      </c>
      <c r="AD32" s="138">
        <v>176</v>
      </c>
      <c r="AE32" s="138">
        <v>177</v>
      </c>
      <c r="AF32" s="138">
        <v>178</v>
      </c>
      <c r="AG32" s="138">
        <v>179</v>
      </c>
      <c r="AH32" s="138">
        <v>180</v>
      </c>
      <c r="AI32" s="138">
        <v>181</v>
      </c>
      <c r="AJ32" s="138">
        <v>182</v>
      </c>
      <c r="AK32" s="138">
        <v>183</v>
      </c>
      <c r="AL32" s="138">
        <v>184</v>
      </c>
      <c r="AM32" s="138">
        <v>185</v>
      </c>
      <c r="AN32" s="138">
        <v>186</v>
      </c>
      <c r="AO32" s="138">
        <v>187</v>
      </c>
      <c r="AP32" s="138">
        <v>188</v>
      </c>
      <c r="AQ32" s="138">
        <v>189</v>
      </c>
      <c r="AR32" s="138">
        <v>190</v>
      </c>
      <c r="AS32" s="138">
        <v>191</v>
      </c>
      <c r="AT32" s="138">
        <v>192</v>
      </c>
      <c r="AU32" s="138">
        <v>193</v>
      </c>
      <c r="AV32" s="138">
        <v>194</v>
      </c>
      <c r="AW32" s="138">
        <v>195</v>
      </c>
      <c r="AX32" s="138">
        <v>196</v>
      </c>
      <c r="AY32" s="138">
        <v>197</v>
      </c>
      <c r="AZ32" s="138">
        <v>198</v>
      </c>
      <c r="BA32" s="138">
        <v>199</v>
      </c>
      <c r="BB32" s="169">
        <v>200</v>
      </c>
    </row>
    <row r="33" spans="1:54" x14ac:dyDescent="0.2">
      <c r="A33" s="161"/>
      <c r="B33" s="161"/>
      <c r="C33" s="162"/>
      <c r="D33" s="161"/>
      <c r="E33" s="170"/>
      <c r="F33" s="163"/>
      <c r="G33" s="163"/>
      <c r="H33" s="163"/>
      <c r="I33" s="163"/>
      <c r="J33" s="233"/>
      <c r="K33" s="23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233"/>
      <c r="AU33" s="233"/>
      <c r="AV33" s="233"/>
      <c r="AW33" s="163"/>
      <c r="AX33" s="40"/>
      <c r="AY33" s="40"/>
      <c r="AZ33" s="40"/>
      <c r="BA33" s="40"/>
      <c r="BB33" s="234"/>
    </row>
    <row r="34" spans="1:54" x14ac:dyDescent="0.2">
      <c r="A34" s="161"/>
      <c r="B34" s="161"/>
      <c r="C34" s="162"/>
      <c r="D34" s="161"/>
      <c r="E34" s="170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40"/>
      <c r="AY34" s="40"/>
      <c r="AZ34" s="40"/>
      <c r="BA34" s="40"/>
      <c r="BB34" s="234"/>
    </row>
    <row r="35" spans="1:54" x14ac:dyDescent="0.2">
      <c r="A35" s="161"/>
      <c r="B35" s="161"/>
      <c r="C35" s="162"/>
      <c r="D35" s="161"/>
      <c r="E35" s="170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40"/>
      <c r="AY35" s="40"/>
      <c r="AZ35" s="40"/>
      <c r="BA35" s="40"/>
      <c r="BB35" s="234"/>
    </row>
    <row r="36" spans="1:54" x14ac:dyDescent="0.2">
      <c r="A36" s="161"/>
      <c r="B36" s="162"/>
      <c r="C36" s="162"/>
      <c r="D36" s="161"/>
      <c r="E36" s="170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40"/>
      <c r="AY36" s="40"/>
      <c r="AZ36" s="40"/>
      <c r="BA36" s="40"/>
      <c r="BB36" s="234"/>
    </row>
    <row r="37" spans="1:54" ht="13.5" thickBot="1" x14ac:dyDescent="0.25">
      <c r="A37" s="161"/>
      <c r="B37" s="161"/>
      <c r="C37" s="162"/>
      <c r="D37" s="161"/>
      <c r="E37" s="23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236"/>
      <c r="AY37" s="236"/>
      <c r="AZ37" s="236"/>
      <c r="BA37" s="236"/>
      <c r="BB37" s="237"/>
    </row>
    <row r="38" spans="1:54" x14ac:dyDescent="0.2">
      <c r="A38" s="161"/>
      <c r="B38" s="161"/>
      <c r="C38" s="162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2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</row>
    <row r="39" spans="1:54" ht="13.5" thickBot="1" x14ac:dyDescent="0.25">
      <c r="A39" s="161"/>
      <c r="B39" s="161"/>
      <c r="C39" s="162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</row>
    <row r="40" spans="1:54" ht="13.5" thickBot="1" x14ac:dyDescent="0.25">
      <c r="A40" s="161"/>
      <c r="B40" s="411" t="s">
        <v>77</v>
      </c>
      <c r="C40" s="412"/>
      <c r="D40" s="412"/>
      <c r="E40" s="412"/>
      <c r="F40" s="413"/>
      <c r="G40" s="160"/>
      <c r="H40" s="195" t="s">
        <v>78</v>
      </c>
      <c r="I40" s="196"/>
      <c r="J40" s="196"/>
      <c r="K40" s="196"/>
      <c r="L40" s="196"/>
      <c r="M40" s="196"/>
      <c r="N40" s="196"/>
      <c r="O40" s="196"/>
      <c r="P40" s="197"/>
      <c r="R40" s="195" t="s">
        <v>79</v>
      </c>
      <c r="S40" s="196"/>
      <c r="T40" s="196"/>
      <c r="U40" s="196"/>
      <c r="V40" s="196"/>
      <c r="W40" s="196"/>
      <c r="X40" s="196"/>
      <c r="Y40" s="196"/>
      <c r="Z40" s="196"/>
      <c r="AA40" s="196"/>
      <c r="AB40" s="197"/>
      <c r="AC40" s="468">
        <v>0.3</v>
      </c>
      <c r="AD40" s="469"/>
      <c r="AE40" s="458" t="e">
        <f>AVERAGE(S43:S47)</f>
        <v>#DIV/0!</v>
      </c>
      <c r="AF40" s="459"/>
      <c r="AU40" s="161" t="s">
        <v>27</v>
      </c>
      <c r="AY40" s="161"/>
      <c r="AZ40" s="161"/>
      <c r="BA40" s="161"/>
    </row>
    <row r="41" spans="1:54" ht="13.5" thickBot="1" x14ac:dyDescent="0.25">
      <c r="A41" s="161"/>
      <c r="B41" s="173"/>
      <c r="C41" s="478" t="s">
        <v>8</v>
      </c>
      <c r="D41" s="476" t="s">
        <v>6</v>
      </c>
      <c r="E41" s="472">
        <v>0.2</v>
      </c>
      <c r="F41" s="473"/>
      <c r="G41" s="18"/>
      <c r="H41" s="171"/>
      <c r="I41" s="422" t="s">
        <v>11</v>
      </c>
      <c r="J41" s="455" t="s">
        <v>6</v>
      </c>
      <c r="K41" s="457" t="s">
        <v>98</v>
      </c>
      <c r="L41" s="417"/>
      <c r="M41" s="417"/>
      <c r="N41" s="418"/>
      <c r="O41" s="460">
        <v>0.3</v>
      </c>
      <c r="P41" s="461"/>
      <c r="R41" s="171"/>
      <c r="S41" s="422" t="s">
        <v>11</v>
      </c>
      <c r="T41" s="455" t="s">
        <v>6</v>
      </c>
      <c r="U41" s="457" t="s">
        <v>98</v>
      </c>
      <c r="V41" s="417"/>
      <c r="W41" s="417"/>
      <c r="X41" s="417"/>
      <c r="Y41" s="417"/>
      <c r="Z41" s="417"/>
      <c r="AA41" s="417"/>
      <c r="AB41" s="417"/>
      <c r="AC41" s="417"/>
      <c r="AD41" s="417"/>
      <c r="AE41" s="417"/>
      <c r="AF41" s="418"/>
      <c r="AX41" s="161"/>
      <c r="AY41" s="161"/>
      <c r="AZ41" s="161"/>
      <c r="BA41" s="161"/>
    </row>
    <row r="42" spans="1:54" ht="13.5" thickBot="1" x14ac:dyDescent="0.25">
      <c r="A42" s="161"/>
      <c r="B42" s="174"/>
      <c r="C42" s="479"/>
      <c r="D42" s="477"/>
      <c r="E42" s="364" t="e">
        <f>AVERAGE(C43:C47)</f>
        <v>#DIV/0!</v>
      </c>
      <c r="F42" s="365"/>
      <c r="G42" s="18"/>
      <c r="H42" s="172"/>
      <c r="I42" s="444"/>
      <c r="J42" s="456"/>
      <c r="K42" s="168">
        <v>1</v>
      </c>
      <c r="L42" s="138">
        <v>2</v>
      </c>
      <c r="M42" s="138">
        <v>3</v>
      </c>
      <c r="N42" s="169">
        <v>4</v>
      </c>
      <c r="O42" s="364" t="e">
        <f>AVERAGE(I43:I47)</f>
        <v>#DIV/0!</v>
      </c>
      <c r="P42" s="365"/>
      <c r="R42" s="172"/>
      <c r="S42" s="444"/>
      <c r="T42" s="456"/>
      <c r="U42" s="168">
        <v>1</v>
      </c>
      <c r="V42" s="138">
        <v>2</v>
      </c>
      <c r="W42" s="138">
        <v>3</v>
      </c>
      <c r="X42" s="138">
        <v>4</v>
      </c>
      <c r="Y42" s="138">
        <v>5</v>
      </c>
      <c r="Z42" s="138">
        <v>6</v>
      </c>
      <c r="AA42" s="138">
        <v>7</v>
      </c>
      <c r="AB42" s="138">
        <v>8</v>
      </c>
      <c r="AC42" s="138">
        <v>9</v>
      </c>
      <c r="AD42" s="138">
        <v>10</v>
      </c>
      <c r="AE42" s="138">
        <v>11</v>
      </c>
      <c r="AF42" s="169">
        <v>12</v>
      </c>
      <c r="AI42" s="480" t="s">
        <v>104</v>
      </c>
      <c r="AJ42" s="481"/>
      <c r="AK42" s="481"/>
      <c r="AL42" s="481"/>
      <c r="AM42" s="481"/>
      <c r="AN42" s="481"/>
      <c r="AO42" s="481"/>
      <c r="AP42" s="481"/>
      <c r="AQ42" s="482"/>
      <c r="AX42" s="161"/>
      <c r="AY42" s="161"/>
      <c r="AZ42" s="161"/>
      <c r="BA42" s="161"/>
    </row>
    <row r="43" spans="1:54" x14ac:dyDescent="0.2">
      <c r="A43" s="161"/>
      <c r="B43" s="253">
        <v>1</v>
      </c>
      <c r="C43" s="243"/>
      <c r="D43" s="184" t="e">
        <f>RANK(C43,$C$43:$C$47)</f>
        <v>#N/A</v>
      </c>
      <c r="F43" s="161"/>
      <c r="G43" s="161"/>
      <c r="H43" s="250">
        <v>1</v>
      </c>
      <c r="I43" s="178" t="e">
        <f>AVERAGE(K43:N43)</f>
        <v>#DIV/0!</v>
      </c>
      <c r="J43" s="181" t="e">
        <f>RANK(I43,$I$43:$I$47)</f>
        <v>#DIV/0!</v>
      </c>
      <c r="K43" s="176"/>
      <c r="L43" s="238"/>
      <c r="M43" s="238"/>
      <c r="N43" s="239"/>
      <c r="O43" s="176"/>
      <c r="P43" s="177"/>
      <c r="R43" s="250">
        <v>1</v>
      </c>
      <c r="S43" s="178" t="e">
        <f>AVERAGE(U43:AF43)</f>
        <v>#DIV/0!</v>
      </c>
      <c r="T43" s="184" t="e">
        <f>RANK(S43,$S$43:$S$47)</f>
        <v>#DIV/0!</v>
      </c>
      <c r="U43" s="238"/>
      <c r="V43" s="238"/>
      <c r="W43" s="238"/>
      <c r="X43" s="238"/>
      <c r="Y43" s="238"/>
      <c r="Z43" s="247"/>
      <c r="AA43" s="247"/>
      <c r="AB43" s="238"/>
      <c r="AC43" s="238"/>
      <c r="AD43" s="238"/>
      <c r="AE43" s="248"/>
      <c r="AF43" s="249"/>
      <c r="AI43" s="200" t="str">
        <f>TR!AI43</f>
        <v>I. Clientele Satisfaction</v>
      </c>
      <c r="AJ43" s="201"/>
      <c r="AK43" s="201"/>
      <c r="AL43" s="201"/>
      <c r="AM43" s="201"/>
      <c r="AN43" s="201"/>
      <c r="AO43" s="9" t="e">
        <f>L9</f>
        <v>#DIV/0!</v>
      </c>
      <c r="AP43" s="463" t="e">
        <f>AO43*20</f>
        <v>#DIV/0!</v>
      </c>
      <c r="AQ43" s="464"/>
    </row>
    <row r="44" spans="1:54" x14ac:dyDescent="0.2">
      <c r="A44" s="161"/>
      <c r="B44" s="254">
        <v>2</v>
      </c>
      <c r="C44" s="244"/>
      <c r="D44" s="185" t="e">
        <f>RANK(C44,$C$43:$C$47)</f>
        <v>#N/A</v>
      </c>
      <c r="F44" s="161"/>
      <c r="G44" s="160"/>
      <c r="H44" s="251">
        <v>2</v>
      </c>
      <c r="I44" s="179" t="e">
        <f>AVERAGE(K44:N44)</f>
        <v>#DIV/0!</v>
      </c>
      <c r="J44" s="182" t="e">
        <f>RANK(I44,$I$43:$I$47)</f>
        <v>#DIV/0!</v>
      </c>
      <c r="K44" s="170"/>
      <c r="L44" s="163"/>
      <c r="M44" s="163"/>
      <c r="N44" s="240"/>
      <c r="O44" s="170"/>
      <c r="P44" s="163"/>
      <c r="R44" s="251">
        <v>2</v>
      </c>
      <c r="S44" s="179" t="e">
        <f>AVERAGE(U44:AF44)</f>
        <v>#DIV/0!</v>
      </c>
      <c r="T44" s="185" t="e">
        <f>RANK(S44,$S$43:$S$47)</f>
        <v>#DIV/0!</v>
      </c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40"/>
      <c r="AF44" s="234"/>
      <c r="AI44" s="200" t="str">
        <f>TR!AI44</f>
        <v>II. Leadership</v>
      </c>
      <c r="AJ44" s="201"/>
      <c r="AK44" s="201"/>
      <c r="AL44" s="201"/>
      <c r="AM44" s="201"/>
      <c r="AN44" s="201"/>
      <c r="AO44" s="9" t="e">
        <f>E42</f>
        <v>#DIV/0!</v>
      </c>
      <c r="AP44" s="463" t="e">
        <f>AO44*20</f>
        <v>#DIV/0!</v>
      </c>
      <c r="AQ44" s="464"/>
    </row>
    <row r="45" spans="1:54" x14ac:dyDescent="0.2">
      <c r="A45" s="161"/>
      <c r="B45" s="254">
        <v>3</v>
      </c>
      <c r="C45" s="244"/>
      <c r="D45" s="185" t="e">
        <f>RANK(C45,$C$43:$C$47)</f>
        <v>#N/A</v>
      </c>
      <c r="F45" s="161"/>
      <c r="G45" s="160"/>
      <c r="H45" s="251">
        <v>3</v>
      </c>
      <c r="I45" s="179" t="e">
        <f>AVERAGE(K45:N45)</f>
        <v>#DIV/0!</v>
      </c>
      <c r="J45" s="182" t="e">
        <f>RANK(I45,$I$43:$I$47)</f>
        <v>#DIV/0!</v>
      </c>
      <c r="K45" s="170"/>
      <c r="L45" s="163"/>
      <c r="M45" s="163"/>
      <c r="N45" s="240"/>
      <c r="O45" s="170"/>
      <c r="P45" s="163"/>
      <c r="R45" s="251">
        <v>3</v>
      </c>
      <c r="S45" s="179" t="e">
        <f>AVERAGE(U45:AF45)</f>
        <v>#DIV/0!</v>
      </c>
      <c r="T45" s="185" t="e">
        <f>RANK(S45,$S$43:$S$47)</f>
        <v>#DIV/0!</v>
      </c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40"/>
      <c r="AF45" s="234"/>
      <c r="AI45" s="200" t="str">
        <f>TR!AI45</f>
        <v>III. Partnership Development</v>
      </c>
      <c r="AJ45" s="201"/>
      <c r="AK45" s="201"/>
      <c r="AL45" s="201"/>
      <c r="AM45" s="201"/>
      <c r="AN45" s="201"/>
      <c r="AO45" s="9" t="e">
        <f>O42</f>
        <v>#DIV/0!</v>
      </c>
      <c r="AP45" s="463" t="e">
        <f>AO45*20</f>
        <v>#DIV/0!</v>
      </c>
      <c r="AQ45" s="464"/>
      <c r="AU45" s="467" t="str">
        <f>TI!DZ75</f>
        <v>DANIEL E. MALIGAT, JR., DIT</v>
      </c>
      <c r="AV45" s="467"/>
      <c r="AW45" s="467"/>
      <c r="AX45" s="467"/>
      <c r="AY45" s="467"/>
      <c r="AZ45" s="467"/>
      <c r="BA45" s="467"/>
      <c r="BB45" s="161"/>
    </row>
    <row r="46" spans="1:54" ht="13.5" thickBot="1" x14ac:dyDescent="0.25">
      <c r="A46" s="161"/>
      <c r="B46" s="254">
        <v>4</v>
      </c>
      <c r="C46" s="244"/>
      <c r="D46" s="185" t="e">
        <f>RANK(C46,$C$43:$C$47)</f>
        <v>#N/A</v>
      </c>
      <c r="F46" s="161"/>
      <c r="G46" s="160"/>
      <c r="H46" s="251">
        <v>4</v>
      </c>
      <c r="I46" s="179" t="e">
        <f>AVERAGE(K46:N46)</f>
        <v>#DIV/0!</v>
      </c>
      <c r="J46" s="182" t="e">
        <f>RANK(I46,$I$43:$I$47)</f>
        <v>#DIV/0!</v>
      </c>
      <c r="K46" s="170"/>
      <c r="L46" s="163"/>
      <c r="M46" s="163"/>
      <c r="N46" s="240"/>
      <c r="O46" s="170"/>
      <c r="P46" s="163"/>
      <c r="R46" s="251">
        <v>4</v>
      </c>
      <c r="S46" s="179" t="e">
        <f>AVERAGE(U46:AF46)</f>
        <v>#DIV/0!</v>
      </c>
      <c r="T46" s="185" t="e">
        <f>RANK(S46,$S$43:$S$47)</f>
        <v>#DIV/0!</v>
      </c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40"/>
      <c r="AF46" s="234"/>
      <c r="AI46" s="202" t="str">
        <f>TR!AI46</f>
        <v>IV. Community Responsibility</v>
      </c>
      <c r="AJ46" s="203"/>
      <c r="AK46" s="203"/>
      <c r="AL46" s="203"/>
      <c r="AM46" s="203"/>
      <c r="AN46" s="203"/>
      <c r="AO46" s="199" t="e">
        <f>AE40</f>
        <v>#DIV/0!</v>
      </c>
      <c r="AP46" s="465" t="e">
        <f>AO46*20</f>
        <v>#DIV/0!</v>
      </c>
      <c r="AQ46" s="466"/>
      <c r="AU46" s="462" t="str">
        <f>TI!DZ76</f>
        <v>DEAN</v>
      </c>
      <c r="AV46" s="462"/>
      <c r="AW46" s="462"/>
      <c r="AX46" s="462"/>
      <c r="AY46" s="462"/>
      <c r="AZ46" s="462"/>
      <c r="BA46" s="462"/>
      <c r="BB46" s="162"/>
    </row>
    <row r="47" spans="1:54" ht="13.5" thickBot="1" x14ac:dyDescent="0.25">
      <c r="A47" s="161"/>
      <c r="B47" s="255">
        <v>5</v>
      </c>
      <c r="C47" s="245"/>
      <c r="D47" s="246" t="e">
        <f>RANK(C47,$C$43:$C$47)</f>
        <v>#N/A</v>
      </c>
      <c r="F47" s="161"/>
      <c r="G47" s="161"/>
      <c r="H47" s="252">
        <v>5</v>
      </c>
      <c r="I47" s="180" t="e">
        <f>AVERAGE(K47:N47)</f>
        <v>#DIV/0!</v>
      </c>
      <c r="J47" s="183" t="e">
        <f>RANK(I47,$I$43:$I$47)</f>
        <v>#DIV/0!</v>
      </c>
      <c r="K47" s="235"/>
      <c r="L47" s="175"/>
      <c r="M47" s="175"/>
      <c r="N47" s="241"/>
      <c r="O47" s="170"/>
      <c r="P47" s="163"/>
      <c r="R47" s="252">
        <v>5</v>
      </c>
      <c r="S47" s="180" t="e">
        <f>AVERAGE(U47:AF47)</f>
        <v>#DIV/0!</v>
      </c>
      <c r="T47" s="256" t="e">
        <f>RANK(S47,$S$43:$S$47)</f>
        <v>#DIV/0!</v>
      </c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241"/>
      <c r="AR47" s="162"/>
      <c r="AS47" s="161"/>
      <c r="AT47" s="161"/>
      <c r="AU47" s="161"/>
      <c r="AV47" s="161"/>
      <c r="AW47" s="161"/>
      <c r="AX47" s="161"/>
    </row>
    <row r="48" spans="1:54" x14ac:dyDescent="0.2">
      <c r="A48" s="161"/>
      <c r="E48" s="161"/>
      <c r="F48" s="161"/>
      <c r="G48" s="161"/>
      <c r="H48" s="161"/>
      <c r="I48" s="161"/>
      <c r="J48" s="161"/>
      <c r="K48" s="161"/>
      <c r="L48" s="161"/>
      <c r="M48" s="161"/>
      <c r="N48" s="164"/>
      <c r="O48" s="164"/>
      <c r="P48" s="161"/>
      <c r="Q48" s="161"/>
      <c r="AG48" s="162"/>
      <c r="AH48" s="162"/>
      <c r="AI48" s="162"/>
      <c r="AJ48" s="162"/>
      <c r="AK48" s="162"/>
      <c r="AL48" s="162"/>
      <c r="AM48" s="162"/>
      <c r="AN48" s="161"/>
      <c r="AO48" s="162"/>
      <c r="AP48" s="161"/>
      <c r="AQ48" s="162"/>
      <c r="AR48" s="162"/>
      <c r="AS48" s="161"/>
      <c r="AT48" s="161"/>
      <c r="AU48" s="161"/>
      <c r="AV48" s="161"/>
      <c r="AW48" s="161"/>
      <c r="AX48" s="161"/>
    </row>
  </sheetData>
  <sheetProtection password="CA99" sheet="1" objects="1" scenarios="1"/>
  <mergeCells count="37">
    <mergeCell ref="AU45:BA45"/>
    <mergeCell ref="AU46:BA46"/>
    <mergeCell ref="AC40:AD40"/>
    <mergeCell ref="AP45:AQ45"/>
    <mergeCell ref="S41:S42"/>
    <mergeCell ref="T41:T42"/>
    <mergeCell ref="U41:AF41"/>
    <mergeCell ref="AP46:AQ46"/>
    <mergeCell ref="AI42:AQ42"/>
    <mergeCell ref="AP43:AQ43"/>
    <mergeCell ref="AP44:AQ44"/>
    <mergeCell ref="J41:J42"/>
    <mergeCell ref="E42:F42"/>
    <mergeCell ref="B40:F40"/>
    <mergeCell ref="E10:BB10"/>
    <mergeCell ref="E17:BB17"/>
    <mergeCell ref="E24:BB24"/>
    <mergeCell ref="O42:P42"/>
    <mergeCell ref="E41:F41"/>
    <mergeCell ref="D41:D42"/>
    <mergeCell ref="C41:C42"/>
    <mergeCell ref="K41:N41"/>
    <mergeCell ref="I41:I42"/>
    <mergeCell ref="E31:BB31"/>
    <mergeCell ref="O41:P41"/>
    <mergeCell ref="B1:BB1"/>
    <mergeCell ref="B2:BB2"/>
    <mergeCell ref="B3:BB3"/>
    <mergeCell ref="B5:BB5"/>
    <mergeCell ref="AE40:AF40"/>
    <mergeCell ref="C10:C11"/>
    <mergeCell ref="D10:D11"/>
    <mergeCell ref="AP7:AX7"/>
    <mergeCell ref="F7:P7"/>
    <mergeCell ref="B9:I9"/>
    <mergeCell ref="J9:K9"/>
    <mergeCell ref="L9:M9"/>
  </mergeCells>
  <phoneticPr fontId="0" type="noConversion"/>
  <dataValidations count="3">
    <dataValidation type="whole" allowBlank="1" showInputMessage="1" showErrorMessage="1" errorTitle="Invalid Data" error="Whole number 1 to 5 only." sqref="F38:BC38" xr:uid="{00000000-0002-0000-0500-000000000000}">
      <formula1>1</formula1>
      <formula2>5</formula2>
    </dataValidation>
    <dataValidation type="whole" allowBlank="1" showErrorMessage="1" errorTitle="Invalid Data" error="Whole number 1 to 5 only." sqref="O43:P47" xr:uid="{00000000-0002-0000-0500-000001000000}">
      <formula1>1</formula1>
      <formula2>5</formula2>
    </dataValidation>
    <dataValidation type="whole" allowBlank="1" showErrorMessage="1" errorTitle="Invalid Data" error="Whole number from 1 to 5 only." sqref="E12:BB16 E19:BB23 E26:BB30 E33:BB37 C43:C47 K43:N47 U43:AF47" xr:uid="{00000000-0002-0000-0500-000002000000}">
      <formula1>1</formula1>
      <formula2>5</formula2>
    </dataValidation>
  </dataValidations>
  <pageMargins left="0.5" right="0.25" top="0.75" bottom="0.75" header="0.5" footer="0.5"/>
  <pageSetup paperSize="291" scale="76" orientation="landscape" blackAndWhite="1" horizontalDpi="4294967295" verticalDpi="144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BB48"/>
  <sheetViews>
    <sheetView showZeros="0" view="pageBreakPreview" zoomScale="75" zoomScaleNormal="75" workbookViewId="0">
      <selection activeCell="AC15" sqref="AC15"/>
    </sheetView>
  </sheetViews>
  <sheetFormatPr defaultRowHeight="12.75" x14ac:dyDescent="0.2"/>
  <cols>
    <col min="1" max="1" width="1.85546875" customWidth="1"/>
    <col min="2" max="2" width="2.85546875" customWidth="1"/>
    <col min="3" max="3" width="5.140625" customWidth="1"/>
    <col min="4" max="4" width="4.85546875" customWidth="1"/>
    <col min="5" max="8" width="3.85546875" customWidth="1"/>
    <col min="9" max="11" width="4.140625" customWidth="1"/>
    <col min="12" max="18" width="3.85546875" customWidth="1"/>
    <col min="19" max="20" width="4.140625" customWidth="1"/>
    <col min="21" max="38" width="3.85546875" customWidth="1"/>
    <col min="39" max="41" width="4.140625" customWidth="1"/>
    <col min="42" max="55" width="3.85546875" customWidth="1"/>
  </cols>
  <sheetData>
    <row r="1" spans="1:54" x14ac:dyDescent="0.2">
      <c r="B1" s="353" t="s">
        <v>0</v>
      </c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3"/>
      <c r="AA1" s="353"/>
      <c r="AB1" s="353"/>
      <c r="AC1" s="353"/>
      <c r="AD1" s="353"/>
      <c r="AE1" s="353"/>
      <c r="AF1" s="353"/>
      <c r="AG1" s="353"/>
      <c r="AH1" s="353"/>
      <c r="AI1" s="353"/>
      <c r="AJ1" s="353"/>
      <c r="AK1" s="353"/>
      <c r="AL1" s="353"/>
      <c r="AM1" s="353"/>
      <c r="AN1" s="353"/>
      <c r="AO1" s="353"/>
      <c r="AP1" s="353"/>
      <c r="AQ1" s="353"/>
      <c r="AR1" s="353"/>
      <c r="AS1" s="353"/>
      <c r="AT1" s="353"/>
      <c r="AU1" s="353"/>
      <c r="AV1" s="353"/>
      <c r="AW1" s="353"/>
      <c r="AX1" s="353"/>
      <c r="AY1" s="353"/>
      <c r="AZ1" s="353"/>
      <c r="BA1" s="353"/>
      <c r="BB1" s="353"/>
    </row>
    <row r="2" spans="1:54" x14ac:dyDescent="0.2">
      <c r="B2" s="353" t="s">
        <v>1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353"/>
      <c r="W2" s="353"/>
      <c r="X2" s="353"/>
      <c r="Y2" s="353"/>
      <c r="Z2" s="353"/>
      <c r="AA2" s="353"/>
      <c r="AB2" s="353"/>
      <c r="AC2" s="353"/>
      <c r="AD2" s="353"/>
      <c r="AE2" s="353"/>
      <c r="AF2" s="353"/>
      <c r="AG2" s="353"/>
      <c r="AH2" s="353"/>
      <c r="AI2" s="353"/>
      <c r="AJ2" s="353"/>
      <c r="AK2" s="353"/>
      <c r="AL2" s="353"/>
      <c r="AM2" s="353"/>
      <c r="AN2" s="353"/>
      <c r="AO2" s="353"/>
      <c r="AP2" s="353"/>
      <c r="AQ2" s="353"/>
      <c r="AR2" s="353"/>
      <c r="AS2" s="353"/>
      <c r="AT2" s="353"/>
      <c r="AU2" s="353"/>
      <c r="AV2" s="353"/>
      <c r="AW2" s="353"/>
      <c r="AX2" s="353"/>
      <c r="AY2" s="353"/>
      <c r="AZ2" s="353"/>
      <c r="BA2" s="353"/>
      <c r="BB2" s="353"/>
    </row>
    <row r="3" spans="1:54" x14ac:dyDescent="0.2">
      <c r="B3" s="353" t="s">
        <v>2</v>
      </c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353"/>
      <c r="W3" s="353"/>
      <c r="X3" s="353"/>
      <c r="Y3" s="353"/>
      <c r="Z3" s="353"/>
      <c r="AA3" s="353"/>
      <c r="AB3" s="353"/>
      <c r="AC3" s="353"/>
      <c r="AD3" s="353"/>
      <c r="AE3" s="353"/>
      <c r="AF3" s="353"/>
      <c r="AG3" s="353"/>
      <c r="AH3" s="353"/>
      <c r="AI3" s="353"/>
      <c r="AJ3" s="353"/>
      <c r="AK3" s="353"/>
      <c r="AL3" s="353"/>
      <c r="AM3" s="353"/>
      <c r="AN3" s="353"/>
      <c r="AO3" s="353"/>
      <c r="AP3" s="353"/>
      <c r="AQ3" s="353"/>
      <c r="AR3" s="353"/>
      <c r="AS3" s="353"/>
      <c r="AT3" s="353"/>
      <c r="AU3" s="353"/>
      <c r="AV3" s="353"/>
      <c r="AW3" s="353"/>
      <c r="AX3" s="353"/>
      <c r="AY3" s="353"/>
      <c r="AZ3" s="353"/>
      <c r="BA3" s="353"/>
      <c r="BB3" s="353"/>
    </row>
    <row r="5" spans="1:54" x14ac:dyDescent="0.2">
      <c r="B5" s="350" t="s">
        <v>105</v>
      </c>
      <c r="C5" s="350"/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  <c r="AK5" s="350"/>
      <c r="AL5" s="350"/>
      <c r="AM5" s="350"/>
      <c r="AN5" s="350"/>
      <c r="AO5" s="350"/>
      <c r="AP5" s="350"/>
      <c r="AQ5" s="350"/>
      <c r="AR5" s="350"/>
      <c r="AS5" s="350"/>
      <c r="AT5" s="350"/>
      <c r="AU5" s="350"/>
      <c r="AV5" s="350"/>
      <c r="AW5" s="350"/>
      <c r="AX5" s="350"/>
      <c r="AY5" s="350"/>
      <c r="AZ5" s="350"/>
      <c r="BA5" s="350"/>
      <c r="BB5" s="350"/>
    </row>
    <row r="6" spans="1:54" x14ac:dyDescent="0.2"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</row>
    <row r="7" spans="1:54" x14ac:dyDescent="0.2">
      <c r="B7" t="s">
        <v>3</v>
      </c>
      <c r="F7" s="407" t="e">
        <f>TI!DC6:DM6</f>
        <v>#VALUE!</v>
      </c>
      <c r="G7" s="408"/>
      <c r="H7" s="408"/>
      <c r="I7" s="408"/>
      <c r="J7" s="408"/>
      <c r="K7" s="408"/>
      <c r="L7" s="408"/>
      <c r="M7" s="408"/>
      <c r="N7" s="408"/>
      <c r="O7" s="408"/>
      <c r="P7" s="409"/>
      <c r="AK7" t="s">
        <v>4</v>
      </c>
      <c r="AP7" s="407" t="e">
        <f>TI!MG6:MO6</f>
        <v>#VALUE!</v>
      </c>
      <c r="AQ7" s="408"/>
      <c r="AR7" s="408"/>
      <c r="AS7" s="408"/>
      <c r="AT7" s="408"/>
      <c r="AU7" s="408"/>
      <c r="AV7" s="408"/>
      <c r="AW7" s="408"/>
      <c r="AX7" s="409"/>
    </row>
    <row r="8" spans="1:54" ht="13.5" thickBot="1" x14ac:dyDescent="0.25">
      <c r="F8" s="1"/>
      <c r="G8" s="1"/>
      <c r="H8" s="1"/>
      <c r="I8" s="1"/>
      <c r="J8" s="1"/>
      <c r="K8" s="1"/>
      <c r="L8" s="1"/>
      <c r="M8" s="1"/>
      <c r="N8" s="1"/>
      <c r="O8" s="1"/>
      <c r="P8" s="1"/>
      <c r="AP8" s="1"/>
      <c r="AQ8" s="1"/>
      <c r="AR8" s="1"/>
      <c r="AS8" s="1"/>
      <c r="AT8" s="1"/>
      <c r="AU8" s="1"/>
      <c r="AV8" s="1"/>
      <c r="AW8" s="1"/>
      <c r="AX8" s="1"/>
    </row>
    <row r="9" spans="1:54" ht="13.5" thickBot="1" x14ac:dyDescent="0.25">
      <c r="A9" s="161"/>
      <c r="B9" s="411" t="s">
        <v>76</v>
      </c>
      <c r="C9" s="412"/>
      <c r="D9" s="412"/>
      <c r="E9" s="412"/>
      <c r="F9" s="412"/>
      <c r="G9" s="412"/>
      <c r="H9" s="412"/>
      <c r="I9" s="413"/>
      <c r="J9" s="483">
        <f>TR!J9</f>
        <v>0.2</v>
      </c>
      <c r="K9" s="484"/>
      <c r="L9" s="470" t="e">
        <f>AVERAGE(C12:C16)</f>
        <v>#DIV/0!</v>
      </c>
      <c r="M9" s="471"/>
      <c r="N9" s="160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0"/>
      <c r="AY9" s="41"/>
    </row>
    <row r="10" spans="1:54" x14ac:dyDescent="0.2">
      <c r="A10" s="161"/>
      <c r="B10" s="171"/>
      <c r="C10" s="422" t="s">
        <v>11</v>
      </c>
      <c r="D10" s="474" t="s">
        <v>6</v>
      </c>
      <c r="E10" s="457" t="s">
        <v>98</v>
      </c>
      <c r="F10" s="417"/>
      <c r="G10" s="417"/>
      <c r="H10" s="417"/>
      <c r="I10" s="417"/>
      <c r="J10" s="417"/>
      <c r="K10" s="417"/>
      <c r="L10" s="417"/>
      <c r="M10" s="417"/>
      <c r="N10" s="417"/>
      <c r="O10" s="417"/>
      <c r="P10" s="417"/>
      <c r="Q10" s="417"/>
      <c r="R10" s="417"/>
      <c r="S10" s="417"/>
      <c r="T10" s="417"/>
      <c r="U10" s="417"/>
      <c r="V10" s="417"/>
      <c r="W10" s="417"/>
      <c r="X10" s="417"/>
      <c r="Y10" s="417"/>
      <c r="Z10" s="417"/>
      <c r="AA10" s="417"/>
      <c r="AB10" s="417"/>
      <c r="AC10" s="417"/>
      <c r="AD10" s="417"/>
      <c r="AE10" s="417"/>
      <c r="AF10" s="417"/>
      <c r="AG10" s="417"/>
      <c r="AH10" s="417"/>
      <c r="AI10" s="417"/>
      <c r="AJ10" s="417"/>
      <c r="AK10" s="417"/>
      <c r="AL10" s="417"/>
      <c r="AM10" s="417"/>
      <c r="AN10" s="417"/>
      <c r="AO10" s="417"/>
      <c r="AP10" s="417"/>
      <c r="AQ10" s="417"/>
      <c r="AR10" s="417"/>
      <c r="AS10" s="417"/>
      <c r="AT10" s="417"/>
      <c r="AU10" s="417"/>
      <c r="AV10" s="417"/>
      <c r="AW10" s="417"/>
      <c r="AX10" s="417"/>
      <c r="AY10" s="417"/>
      <c r="AZ10" s="417"/>
      <c r="BA10" s="417"/>
      <c r="BB10" s="418"/>
    </row>
    <row r="11" spans="1:54" ht="13.5" thickBot="1" x14ac:dyDescent="0.25">
      <c r="A11" s="161"/>
      <c r="B11" s="172"/>
      <c r="C11" s="444"/>
      <c r="D11" s="475"/>
      <c r="E11" s="168">
        <v>1</v>
      </c>
      <c r="F11" s="138">
        <v>2</v>
      </c>
      <c r="G11" s="138">
        <v>3</v>
      </c>
      <c r="H11" s="138">
        <v>4</v>
      </c>
      <c r="I11" s="138">
        <v>5</v>
      </c>
      <c r="J11" s="138">
        <v>6</v>
      </c>
      <c r="K11" s="138">
        <v>7</v>
      </c>
      <c r="L11" s="138">
        <v>8</v>
      </c>
      <c r="M11" s="138">
        <v>9</v>
      </c>
      <c r="N11" s="138">
        <v>10</v>
      </c>
      <c r="O11" s="138">
        <v>11</v>
      </c>
      <c r="P11" s="138">
        <v>12</v>
      </c>
      <c r="Q11" s="138">
        <v>13</v>
      </c>
      <c r="R11" s="138">
        <v>14</v>
      </c>
      <c r="S11" s="138">
        <v>15</v>
      </c>
      <c r="T11" s="138">
        <v>16</v>
      </c>
      <c r="U11" s="138">
        <v>17</v>
      </c>
      <c r="V11" s="138">
        <v>18</v>
      </c>
      <c r="W11" s="138">
        <v>19</v>
      </c>
      <c r="X11" s="138">
        <v>20</v>
      </c>
      <c r="Y11" s="138">
        <v>21</v>
      </c>
      <c r="Z11" s="138">
        <v>22</v>
      </c>
      <c r="AA11" s="138">
        <v>23</v>
      </c>
      <c r="AB11" s="138">
        <v>24</v>
      </c>
      <c r="AC11" s="138">
        <v>25</v>
      </c>
      <c r="AD11" s="138">
        <v>26</v>
      </c>
      <c r="AE11" s="138">
        <v>27</v>
      </c>
      <c r="AF11" s="138">
        <v>28</v>
      </c>
      <c r="AG11" s="138">
        <v>29</v>
      </c>
      <c r="AH11" s="138">
        <v>30</v>
      </c>
      <c r="AI11" s="138">
        <v>31</v>
      </c>
      <c r="AJ11" s="138">
        <v>32</v>
      </c>
      <c r="AK11" s="138">
        <v>33</v>
      </c>
      <c r="AL11" s="138">
        <v>34</v>
      </c>
      <c r="AM11" s="138">
        <v>35</v>
      </c>
      <c r="AN11" s="138">
        <v>36</v>
      </c>
      <c r="AO11" s="138">
        <v>37</v>
      </c>
      <c r="AP11" s="138">
        <v>38</v>
      </c>
      <c r="AQ11" s="138">
        <v>39</v>
      </c>
      <c r="AR11" s="138">
        <v>40</v>
      </c>
      <c r="AS11" s="138">
        <v>41</v>
      </c>
      <c r="AT11" s="138">
        <v>42</v>
      </c>
      <c r="AU11" s="138">
        <v>43</v>
      </c>
      <c r="AV11" s="138">
        <v>44</v>
      </c>
      <c r="AW11" s="138">
        <v>45</v>
      </c>
      <c r="AX11" s="138">
        <v>46</v>
      </c>
      <c r="AY11" s="138">
        <v>47</v>
      </c>
      <c r="AZ11" s="138">
        <v>48</v>
      </c>
      <c r="BA11" s="138">
        <v>49</v>
      </c>
      <c r="BB11" s="169">
        <v>50</v>
      </c>
    </row>
    <row r="12" spans="1:54" x14ac:dyDescent="0.2">
      <c r="A12" s="161"/>
      <c r="B12" s="165">
        <v>1</v>
      </c>
      <c r="C12" s="178" t="e">
        <f>AVERAGE(E12:BB12,E19:BB19,E26:BB26,E33:BB33)</f>
        <v>#DIV/0!</v>
      </c>
      <c r="D12" s="181" t="e">
        <f>RANK(C12,$C$12:$C$16)</f>
        <v>#DIV/0!</v>
      </c>
      <c r="E12" s="170"/>
      <c r="F12" s="163"/>
      <c r="G12" s="163"/>
      <c r="H12" s="163"/>
      <c r="I12" s="163"/>
      <c r="J12" s="233"/>
      <c r="K12" s="23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233"/>
      <c r="AU12" s="233"/>
      <c r="AV12" s="233"/>
      <c r="AW12" s="163"/>
      <c r="AX12" s="40"/>
      <c r="AY12" s="40"/>
      <c r="AZ12" s="40"/>
      <c r="BA12" s="40"/>
      <c r="BB12" s="234"/>
    </row>
    <row r="13" spans="1:54" x14ac:dyDescent="0.2">
      <c r="A13" s="161"/>
      <c r="B13" s="166">
        <v>2</v>
      </c>
      <c r="C13" s="179" t="e">
        <f>AVERAGE(E13:BB13,E20:BB20,E27:BB27,E34:BB34)</f>
        <v>#DIV/0!</v>
      </c>
      <c r="D13" s="182" t="e">
        <f>RANK(C13,$C$12:$C$16)</f>
        <v>#DIV/0!</v>
      </c>
      <c r="E13" s="170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40"/>
      <c r="AY13" s="40"/>
      <c r="AZ13" s="40"/>
      <c r="BA13" s="40"/>
      <c r="BB13" s="234"/>
    </row>
    <row r="14" spans="1:54" x14ac:dyDescent="0.2">
      <c r="A14" s="161"/>
      <c r="B14" s="166">
        <v>3</v>
      </c>
      <c r="C14" s="179" t="e">
        <f>AVERAGE(E14:BB14,E21:BB21,E28:BB28,E35:BB35)</f>
        <v>#DIV/0!</v>
      </c>
      <c r="D14" s="182" t="e">
        <f>RANK(C14,$C$12:$C$16)</f>
        <v>#DIV/0!</v>
      </c>
      <c r="E14" s="170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40"/>
      <c r="AY14" s="40"/>
      <c r="AZ14" s="40"/>
      <c r="BA14" s="40"/>
      <c r="BB14" s="234"/>
    </row>
    <row r="15" spans="1:54" x14ac:dyDescent="0.2">
      <c r="A15" s="161"/>
      <c r="B15" s="166">
        <v>4</v>
      </c>
      <c r="C15" s="179" t="e">
        <f>AVERAGE(E15:BB15,E22:BB22,E29:BB29,E36:BB36)</f>
        <v>#DIV/0!</v>
      </c>
      <c r="D15" s="182" t="e">
        <f>RANK(C15,$C$12:$C$16)</f>
        <v>#DIV/0!</v>
      </c>
      <c r="E15" s="170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40"/>
      <c r="AY15" s="40"/>
      <c r="AZ15" s="40"/>
      <c r="BA15" s="40"/>
      <c r="BB15" s="234"/>
    </row>
    <row r="16" spans="1:54" ht="13.5" thickBot="1" x14ac:dyDescent="0.25">
      <c r="A16" s="161"/>
      <c r="B16" s="167">
        <v>5</v>
      </c>
      <c r="C16" s="180" t="e">
        <f>AVERAGE(E16:BB16,E23:BB23,E30:BB30,E37:BB37)</f>
        <v>#DIV/0!</v>
      </c>
      <c r="D16" s="183" t="e">
        <f>RANK(C16,$C$12:$C$16)</f>
        <v>#DIV/0!</v>
      </c>
      <c r="E16" s="170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40"/>
      <c r="AY16" s="40"/>
      <c r="AZ16" s="40"/>
      <c r="BA16" s="40"/>
      <c r="BB16" s="234"/>
    </row>
    <row r="17" spans="1:54" x14ac:dyDescent="0.2">
      <c r="A17" s="161"/>
      <c r="B17" s="161"/>
      <c r="C17" s="162"/>
      <c r="D17" s="161"/>
      <c r="E17" s="457" t="s">
        <v>98</v>
      </c>
      <c r="F17" s="417"/>
      <c r="G17" s="417"/>
      <c r="H17" s="417"/>
      <c r="I17" s="417"/>
      <c r="J17" s="417"/>
      <c r="K17" s="417"/>
      <c r="L17" s="417"/>
      <c r="M17" s="417"/>
      <c r="N17" s="417"/>
      <c r="O17" s="417"/>
      <c r="P17" s="417"/>
      <c r="Q17" s="417"/>
      <c r="R17" s="417"/>
      <c r="S17" s="417"/>
      <c r="T17" s="417"/>
      <c r="U17" s="417"/>
      <c r="V17" s="417"/>
      <c r="W17" s="417"/>
      <c r="X17" s="417"/>
      <c r="Y17" s="417"/>
      <c r="Z17" s="417"/>
      <c r="AA17" s="417"/>
      <c r="AB17" s="417"/>
      <c r="AC17" s="417"/>
      <c r="AD17" s="417"/>
      <c r="AE17" s="417"/>
      <c r="AF17" s="417"/>
      <c r="AG17" s="417"/>
      <c r="AH17" s="417"/>
      <c r="AI17" s="417"/>
      <c r="AJ17" s="417"/>
      <c r="AK17" s="417"/>
      <c r="AL17" s="417"/>
      <c r="AM17" s="417"/>
      <c r="AN17" s="417"/>
      <c r="AO17" s="417"/>
      <c r="AP17" s="417"/>
      <c r="AQ17" s="417"/>
      <c r="AR17" s="417"/>
      <c r="AS17" s="417"/>
      <c r="AT17" s="417"/>
      <c r="AU17" s="417"/>
      <c r="AV17" s="417"/>
      <c r="AW17" s="417"/>
      <c r="AX17" s="417"/>
      <c r="AY17" s="417"/>
      <c r="AZ17" s="417"/>
      <c r="BA17" s="417"/>
      <c r="BB17" s="418"/>
    </row>
    <row r="18" spans="1:54" ht="13.5" thickBot="1" x14ac:dyDescent="0.25">
      <c r="A18" s="161"/>
      <c r="B18" s="161"/>
      <c r="C18" s="161"/>
      <c r="D18" s="161"/>
      <c r="E18" s="168">
        <v>51</v>
      </c>
      <c r="F18" s="138">
        <v>52</v>
      </c>
      <c r="G18" s="138">
        <v>53</v>
      </c>
      <c r="H18" s="138">
        <v>54</v>
      </c>
      <c r="I18" s="138">
        <v>55</v>
      </c>
      <c r="J18" s="138">
        <v>56</v>
      </c>
      <c r="K18" s="138">
        <v>57</v>
      </c>
      <c r="L18" s="138">
        <v>58</v>
      </c>
      <c r="M18" s="138">
        <v>59</v>
      </c>
      <c r="N18" s="138">
        <v>60</v>
      </c>
      <c r="O18" s="138">
        <v>61</v>
      </c>
      <c r="P18" s="138">
        <v>62</v>
      </c>
      <c r="Q18" s="138">
        <v>63</v>
      </c>
      <c r="R18" s="138">
        <v>64</v>
      </c>
      <c r="S18" s="138">
        <v>65</v>
      </c>
      <c r="T18" s="138">
        <v>66</v>
      </c>
      <c r="U18" s="138">
        <v>67</v>
      </c>
      <c r="V18" s="138">
        <v>68</v>
      </c>
      <c r="W18" s="138">
        <v>69</v>
      </c>
      <c r="X18" s="138">
        <v>70</v>
      </c>
      <c r="Y18" s="138">
        <v>71</v>
      </c>
      <c r="Z18" s="138">
        <v>72</v>
      </c>
      <c r="AA18" s="138">
        <v>73</v>
      </c>
      <c r="AB18" s="138">
        <v>74</v>
      </c>
      <c r="AC18" s="138">
        <v>75</v>
      </c>
      <c r="AD18" s="138">
        <v>76</v>
      </c>
      <c r="AE18" s="138">
        <v>77</v>
      </c>
      <c r="AF18" s="138">
        <v>78</v>
      </c>
      <c r="AG18" s="138">
        <v>79</v>
      </c>
      <c r="AH18" s="138">
        <v>80</v>
      </c>
      <c r="AI18" s="138">
        <v>81</v>
      </c>
      <c r="AJ18" s="138">
        <v>82</v>
      </c>
      <c r="AK18" s="138">
        <v>83</v>
      </c>
      <c r="AL18" s="138">
        <v>84</v>
      </c>
      <c r="AM18" s="138">
        <v>85</v>
      </c>
      <c r="AN18" s="138">
        <v>86</v>
      </c>
      <c r="AO18" s="138">
        <v>87</v>
      </c>
      <c r="AP18" s="138">
        <v>88</v>
      </c>
      <c r="AQ18" s="138">
        <v>89</v>
      </c>
      <c r="AR18" s="138">
        <v>90</v>
      </c>
      <c r="AS18" s="138">
        <v>91</v>
      </c>
      <c r="AT18" s="138">
        <v>92</v>
      </c>
      <c r="AU18" s="138">
        <v>93</v>
      </c>
      <c r="AV18" s="138">
        <v>94</v>
      </c>
      <c r="AW18" s="138">
        <v>95</v>
      </c>
      <c r="AX18" s="138">
        <v>96</v>
      </c>
      <c r="AY18" s="138">
        <v>97</v>
      </c>
      <c r="AZ18" s="138">
        <v>98</v>
      </c>
      <c r="BA18" s="138">
        <v>99</v>
      </c>
      <c r="BB18" s="169">
        <v>100</v>
      </c>
    </row>
    <row r="19" spans="1:54" x14ac:dyDescent="0.2">
      <c r="A19" s="161"/>
      <c r="B19" s="161"/>
      <c r="C19" s="162"/>
      <c r="D19" s="161"/>
      <c r="E19" s="170"/>
      <c r="F19" s="163"/>
      <c r="G19" s="163"/>
      <c r="H19" s="163"/>
      <c r="I19" s="163"/>
      <c r="J19" s="233"/>
      <c r="K19" s="23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233"/>
      <c r="AU19" s="233"/>
      <c r="AV19" s="233"/>
      <c r="AW19" s="163"/>
      <c r="AX19" s="40"/>
      <c r="AY19" s="40"/>
      <c r="AZ19" s="40"/>
      <c r="BA19" s="40"/>
      <c r="BB19" s="234"/>
    </row>
    <row r="20" spans="1:54" x14ac:dyDescent="0.2">
      <c r="A20" s="161"/>
      <c r="B20" s="161"/>
      <c r="C20" s="162"/>
      <c r="D20" s="161"/>
      <c r="E20" s="170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40"/>
      <c r="AY20" s="40"/>
      <c r="AZ20" s="40"/>
      <c r="BA20" s="40"/>
      <c r="BB20" s="234"/>
    </row>
    <row r="21" spans="1:54" x14ac:dyDescent="0.2">
      <c r="A21" s="161"/>
      <c r="B21" s="161"/>
      <c r="C21" s="162"/>
      <c r="D21" s="161"/>
      <c r="E21" s="170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40"/>
      <c r="AY21" s="40"/>
      <c r="AZ21" s="40"/>
      <c r="BA21" s="40"/>
      <c r="BB21" s="234"/>
    </row>
    <row r="22" spans="1:54" x14ac:dyDescent="0.2">
      <c r="A22" s="161"/>
      <c r="B22" s="161"/>
      <c r="C22" s="162"/>
      <c r="D22" s="161"/>
      <c r="E22" s="170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40"/>
      <c r="AY22" s="40"/>
      <c r="AZ22" s="40"/>
      <c r="BA22" s="40"/>
      <c r="BB22" s="234"/>
    </row>
    <row r="23" spans="1:54" ht="13.5" thickBot="1" x14ac:dyDescent="0.25">
      <c r="A23" s="161"/>
      <c r="B23" s="161"/>
      <c r="C23" s="162"/>
      <c r="D23" s="161"/>
      <c r="E23" s="170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40"/>
      <c r="AY23" s="40"/>
      <c r="AZ23" s="40"/>
      <c r="BA23" s="40"/>
      <c r="BB23" s="234"/>
    </row>
    <row r="24" spans="1:54" x14ac:dyDescent="0.2">
      <c r="A24" s="161"/>
      <c r="B24" s="161"/>
      <c r="C24" s="161"/>
      <c r="D24" s="161"/>
      <c r="E24" s="457" t="s">
        <v>98</v>
      </c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417"/>
      <c r="S24" s="417"/>
      <c r="T24" s="417"/>
      <c r="U24" s="417"/>
      <c r="V24" s="417"/>
      <c r="W24" s="417"/>
      <c r="X24" s="417"/>
      <c r="Y24" s="417"/>
      <c r="Z24" s="417"/>
      <c r="AA24" s="417"/>
      <c r="AB24" s="417"/>
      <c r="AC24" s="417"/>
      <c r="AD24" s="417"/>
      <c r="AE24" s="417"/>
      <c r="AF24" s="417"/>
      <c r="AG24" s="417"/>
      <c r="AH24" s="417"/>
      <c r="AI24" s="417"/>
      <c r="AJ24" s="417"/>
      <c r="AK24" s="417"/>
      <c r="AL24" s="417"/>
      <c r="AM24" s="417"/>
      <c r="AN24" s="417"/>
      <c r="AO24" s="417"/>
      <c r="AP24" s="417"/>
      <c r="AQ24" s="417"/>
      <c r="AR24" s="417"/>
      <c r="AS24" s="417"/>
      <c r="AT24" s="417"/>
      <c r="AU24" s="417"/>
      <c r="AV24" s="417"/>
      <c r="AW24" s="417"/>
      <c r="AX24" s="417"/>
      <c r="AY24" s="417"/>
      <c r="AZ24" s="417"/>
      <c r="BA24" s="417"/>
      <c r="BB24" s="418"/>
    </row>
    <row r="25" spans="1:54" ht="13.5" thickBot="1" x14ac:dyDescent="0.25">
      <c r="A25" s="161"/>
      <c r="B25" s="161"/>
      <c r="C25" s="162"/>
      <c r="D25" s="161"/>
      <c r="E25" s="168">
        <v>101</v>
      </c>
      <c r="F25" s="138">
        <v>102</v>
      </c>
      <c r="G25" s="138">
        <v>103</v>
      </c>
      <c r="H25" s="138">
        <v>104</v>
      </c>
      <c r="I25" s="138">
        <v>105</v>
      </c>
      <c r="J25" s="138">
        <v>106</v>
      </c>
      <c r="K25" s="138">
        <v>107</v>
      </c>
      <c r="L25" s="138">
        <v>108</v>
      </c>
      <c r="M25" s="138">
        <v>109</v>
      </c>
      <c r="N25" s="138">
        <v>110</v>
      </c>
      <c r="O25" s="138">
        <v>111</v>
      </c>
      <c r="P25" s="138">
        <v>112</v>
      </c>
      <c r="Q25" s="138">
        <v>113</v>
      </c>
      <c r="R25" s="138">
        <v>114</v>
      </c>
      <c r="S25" s="138">
        <v>115</v>
      </c>
      <c r="T25" s="138">
        <v>116</v>
      </c>
      <c r="U25" s="138">
        <v>117</v>
      </c>
      <c r="V25" s="138">
        <v>118</v>
      </c>
      <c r="W25" s="138">
        <v>119</v>
      </c>
      <c r="X25" s="138">
        <v>120</v>
      </c>
      <c r="Y25" s="138">
        <v>121</v>
      </c>
      <c r="Z25" s="138">
        <v>122</v>
      </c>
      <c r="AA25" s="138">
        <v>123</v>
      </c>
      <c r="AB25" s="138">
        <v>124</v>
      </c>
      <c r="AC25" s="138">
        <v>125</v>
      </c>
      <c r="AD25" s="138">
        <v>126</v>
      </c>
      <c r="AE25" s="138">
        <v>127</v>
      </c>
      <c r="AF25" s="138">
        <v>128</v>
      </c>
      <c r="AG25" s="138">
        <v>129</v>
      </c>
      <c r="AH25" s="138">
        <v>130</v>
      </c>
      <c r="AI25" s="138">
        <v>131</v>
      </c>
      <c r="AJ25" s="138">
        <v>132</v>
      </c>
      <c r="AK25" s="138">
        <v>133</v>
      </c>
      <c r="AL25" s="138">
        <v>134</v>
      </c>
      <c r="AM25" s="138">
        <v>135</v>
      </c>
      <c r="AN25" s="138">
        <v>136</v>
      </c>
      <c r="AO25" s="138">
        <v>137</v>
      </c>
      <c r="AP25" s="138">
        <v>138</v>
      </c>
      <c r="AQ25" s="138">
        <v>139</v>
      </c>
      <c r="AR25" s="138">
        <v>140</v>
      </c>
      <c r="AS25" s="138">
        <v>141</v>
      </c>
      <c r="AT25" s="138">
        <v>142</v>
      </c>
      <c r="AU25" s="138">
        <v>143</v>
      </c>
      <c r="AV25" s="138">
        <v>144</v>
      </c>
      <c r="AW25" s="138">
        <v>145</v>
      </c>
      <c r="AX25" s="138">
        <v>146</v>
      </c>
      <c r="AY25" s="138">
        <v>147</v>
      </c>
      <c r="AZ25" s="138">
        <v>148</v>
      </c>
      <c r="BA25" s="138">
        <v>149</v>
      </c>
      <c r="BB25" s="169">
        <v>150</v>
      </c>
    </row>
    <row r="26" spans="1:54" x14ac:dyDescent="0.2">
      <c r="A26" s="161"/>
      <c r="B26" s="161"/>
      <c r="C26" s="162"/>
      <c r="D26" s="161"/>
      <c r="E26" s="170"/>
      <c r="F26" s="163"/>
      <c r="G26" s="163"/>
      <c r="H26" s="163"/>
      <c r="I26" s="163"/>
      <c r="J26" s="233"/>
      <c r="K26" s="23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233"/>
      <c r="AU26" s="233"/>
      <c r="AV26" s="233"/>
      <c r="AW26" s="163"/>
      <c r="AX26" s="40"/>
      <c r="AY26" s="40"/>
      <c r="AZ26" s="40"/>
      <c r="BA26" s="40"/>
      <c r="BB26" s="234"/>
    </row>
    <row r="27" spans="1:54" x14ac:dyDescent="0.2">
      <c r="A27" s="161"/>
      <c r="B27" s="161"/>
      <c r="C27" s="162"/>
      <c r="D27" s="161"/>
      <c r="E27" s="170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40"/>
      <c r="AY27" s="40"/>
      <c r="AZ27" s="40"/>
      <c r="BA27" s="40"/>
      <c r="BB27" s="234"/>
    </row>
    <row r="28" spans="1:54" x14ac:dyDescent="0.2">
      <c r="A28" s="161"/>
      <c r="B28" s="161"/>
      <c r="C28" s="162"/>
      <c r="D28" s="161"/>
      <c r="E28" s="170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40"/>
      <c r="AY28" s="40"/>
      <c r="AZ28" s="40"/>
      <c r="BA28" s="40"/>
      <c r="BB28" s="234"/>
    </row>
    <row r="29" spans="1:54" x14ac:dyDescent="0.2">
      <c r="A29" s="161"/>
      <c r="B29" s="161"/>
      <c r="C29" s="162"/>
      <c r="D29" s="161"/>
      <c r="E29" s="170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40"/>
      <c r="AY29" s="40"/>
      <c r="AZ29" s="40"/>
      <c r="BA29" s="40"/>
      <c r="BB29" s="234"/>
    </row>
    <row r="30" spans="1:54" ht="13.5" thickBot="1" x14ac:dyDescent="0.25">
      <c r="A30" s="161"/>
      <c r="B30" s="161"/>
      <c r="C30" s="161"/>
      <c r="D30" s="161"/>
      <c r="E30" s="170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40"/>
      <c r="AY30" s="40"/>
      <c r="AZ30" s="40"/>
      <c r="BA30" s="40"/>
      <c r="BB30" s="234"/>
    </row>
    <row r="31" spans="1:54" x14ac:dyDescent="0.2">
      <c r="A31" s="161"/>
      <c r="B31" s="161"/>
      <c r="C31" s="162"/>
      <c r="D31" s="161"/>
      <c r="E31" s="457" t="s">
        <v>98</v>
      </c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  <c r="AF31" s="417"/>
      <c r="AG31" s="417"/>
      <c r="AH31" s="417"/>
      <c r="AI31" s="417"/>
      <c r="AJ31" s="417"/>
      <c r="AK31" s="417"/>
      <c r="AL31" s="417"/>
      <c r="AM31" s="417"/>
      <c r="AN31" s="417"/>
      <c r="AO31" s="417"/>
      <c r="AP31" s="417"/>
      <c r="AQ31" s="417"/>
      <c r="AR31" s="417"/>
      <c r="AS31" s="417"/>
      <c r="AT31" s="417"/>
      <c r="AU31" s="417"/>
      <c r="AV31" s="417"/>
      <c r="AW31" s="417"/>
      <c r="AX31" s="417"/>
      <c r="AY31" s="417"/>
      <c r="AZ31" s="417"/>
      <c r="BA31" s="417"/>
      <c r="BB31" s="418"/>
    </row>
    <row r="32" spans="1:54" ht="13.5" thickBot="1" x14ac:dyDescent="0.25">
      <c r="A32" s="161"/>
      <c r="B32" s="161"/>
      <c r="C32" s="162"/>
      <c r="D32" s="161"/>
      <c r="E32" s="168">
        <v>151</v>
      </c>
      <c r="F32" s="138">
        <v>152</v>
      </c>
      <c r="G32" s="138">
        <v>153</v>
      </c>
      <c r="H32" s="138">
        <v>154</v>
      </c>
      <c r="I32" s="138">
        <v>155</v>
      </c>
      <c r="J32" s="138">
        <v>156</v>
      </c>
      <c r="K32" s="138">
        <v>157</v>
      </c>
      <c r="L32" s="138">
        <v>158</v>
      </c>
      <c r="M32" s="138">
        <v>159</v>
      </c>
      <c r="N32" s="138">
        <v>160</v>
      </c>
      <c r="O32" s="138">
        <v>161</v>
      </c>
      <c r="P32" s="138">
        <v>162</v>
      </c>
      <c r="Q32" s="138">
        <v>163</v>
      </c>
      <c r="R32" s="138">
        <v>164</v>
      </c>
      <c r="S32" s="138">
        <v>165</v>
      </c>
      <c r="T32" s="138">
        <v>166</v>
      </c>
      <c r="U32" s="138">
        <v>167</v>
      </c>
      <c r="V32" s="138">
        <v>168</v>
      </c>
      <c r="W32" s="138">
        <v>169</v>
      </c>
      <c r="X32" s="138">
        <v>170</v>
      </c>
      <c r="Y32" s="138">
        <v>171</v>
      </c>
      <c r="Z32" s="138">
        <v>172</v>
      </c>
      <c r="AA32" s="138">
        <v>173</v>
      </c>
      <c r="AB32" s="138">
        <v>174</v>
      </c>
      <c r="AC32" s="138">
        <v>175</v>
      </c>
      <c r="AD32" s="138">
        <v>176</v>
      </c>
      <c r="AE32" s="138">
        <v>177</v>
      </c>
      <c r="AF32" s="138">
        <v>178</v>
      </c>
      <c r="AG32" s="138">
        <v>179</v>
      </c>
      <c r="AH32" s="138">
        <v>180</v>
      </c>
      <c r="AI32" s="138">
        <v>181</v>
      </c>
      <c r="AJ32" s="138">
        <v>182</v>
      </c>
      <c r="AK32" s="138">
        <v>183</v>
      </c>
      <c r="AL32" s="138">
        <v>184</v>
      </c>
      <c r="AM32" s="138">
        <v>185</v>
      </c>
      <c r="AN32" s="138">
        <v>186</v>
      </c>
      <c r="AO32" s="138">
        <v>187</v>
      </c>
      <c r="AP32" s="138">
        <v>188</v>
      </c>
      <c r="AQ32" s="138">
        <v>189</v>
      </c>
      <c r="AR32" s="138">
        <v>190</v>
      </c>
      <c r="AS32" s="138">
        <v>191</v>
      </c>
      <c r="AT32" s="138">
        <v>192</v>
      </c>
      <c r="AU32" s="138">
        <v>193</v>
      </c>
      <c r="AV32" s="138">
        <v>194</v>
      </c>
      <c r="AW32" s="138">
        <v>195</v>
      </c>
      <c r="AX32" s="138">
        <v>196</v>
      </c>
      <c r="AY32" s="138">
        <v>197</v>
      </c>
      <c r="AZ32" s="138">
        <v>198</v>
      </c>
      <c r="BA32" s="138">
        <v>199</v>
      </c>
      <c r="BB32" s="169">
        <v>200</v>
      </c>
    </row>
    <row r="33" spans="1:54" x14ac:dyDescent="0.2">
      <c r="A33" s="161"/>
      <c r="B33" s="161"/>
      <c r="C33" s="162"/>
      <c r="D33" s="161"/>
      <c r="E33" s="170"/>
      <c r="F33" s="163"/>
      <c r="G33" s="163"/>
      <c r="H33" s="163"/>
      <c r="I33" s="163"/>
      <c r="J33" s="233"/>
      <c r="K33" s="23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233"/>
      <c r="AU33" s="233"/>
      <c r="AV33" s="233"/>
      <c r="AW33" s="163"/>
      <c r="AX33" s="40"/>
      <c r="AY33" s="40"/>
      <c r="AZ33" s="40"/>
      <c r="BA33" s="40"/>
      <c r="BB33" s="234"/>
    </row>
    <row r="34" spans="1:54" x14ac:dyDescent="0.2">
      <c r="A34" s="161"/>
      <c r="B34" s="161"/>
      <c r="C34" s="162"/>
      <c r="D34" s="161"/>
      <c r="E34" s="170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40"/>
      <c r="AY34" s="40"/>
      <c r="AZ34" s="40"/>
      <c r="BA34" s="40"/>
      <c r="BB34" s="234"/>
    </row>
    <row r="35" spans="1:54" x14ac:dyDescent="0.2">
      <c r="A35" s="161"/>
      <c r="B35" s="161"/>
      <c r="C35" s="162"/>
      <c r="D35" s="161"/>
      <c r="E35" s="170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40"/>
      <c r="AY35" s="40"/>
      <c r="AZ35" s="40"/>
      <c r="BA35" s="40"/>
      <c r="BB35" s="234"/>
    </row>
    <row r="36" spans="1:54" x14ac:dyDescent="0.2">
      <c r="A36" s="161"/>
      <c r="B36" s="162"/>
      <c r="C36" s="162"/>
      <c r="D36" s="161"/>
      <c r="E36" s="170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40"/>
      <c r="AY36" s="40"/>
      <c r="AZ36" s="40"/>
      <c r="BA36" s="40"/>
      <c r="BB36" s="234"/>
    </row>
    <row r="37" spans="1:54" ht="13.5" thickBot="1" x14ac:dyDescent="0.25">
      <c r="A37" s="161"/>
      <c r="B37" s="161"/>
      <c r="C37" s="162"/>
      <c r="D37" s="161"/>
      <c r="E37" s="23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236"/>
      <c r="AY37" s="236"/>
      <c r="AZ37" s="236"/>
      <c r="BA37" s="236"/>
      <c r="BB37" s="237"/>
    </row>
    <row r="38" spans="1:54" x14ac:dyDescent="0.2">
      <c r="A38" s="161"/>
      <c r="B38" s="161"/>
      <c r="C38" s="162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2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</row>
    <row r="39" spans="1:54" ht="13.5" thickBot="1" x14ac:dyDescent="0.25">
      <c r="A39" s="161"/>
      <c r="B39" s="161"/>
      <c r="C39" s="162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</row>
    <row r="40" spans="1:54" ht="13.5" thickBot="1" x14ac:dyDescent="0.25">
      <c r="A40" s="161"/>
      <c r="B40" s="411" t="s">
        <v>77</v>
      </c>
      <c r="C40" s="412"/>
      <c r="D40" s="412"/>
      <c r="E40" s="412"/>
      <c r="F40" s="413"/>
      <c r="G40" s="160"/>
      <c r="H40" s="195" t="s">
        <v>78</v>
      </c>
      <c r="I40" s="196"/>
      <c r="J40" s="196"/>
      <c r="K40" s="196"/>
      <c r="L40" s="196"/>
      <c r="M40" s="196"/>
      <c r="N40" s="196"/>
      <c r="O40" s="196"/>
      <c r="P40" s="197"/>
      <c r="R40" s="195" t="s">
        <v>79</v>
      </c>
      <c r="S40" s="196"/>
      <c r="T40" s="196"/>
      <c r="U40" s="196"/>
      <c r="V40" s="196"/>
      <c r="W40" s="196"/>
      <c r="X40" s="196"/>
      <c r="Y40" s="196"/>
      <c r="Z40" s="196"/>
      <c r="AA40" s="196"/>
      <c r="AB40" s="197"/>
      <c r="AC40" s="468">
        <v>0.3</v>
      </c>
      <c r="AD40" s="469"/>
      <c r="AE40" s="458" t="e">
        <f>AVERAGE(S43:S47)</f>
        <v>#DIV/0!</v>
      </c>
      <c r="AF40" s="459"/>
      <c r="AU40" s="161" t="s">
        <v>27</v>
      </c>
      <c r="AY40" s="161"/>
      <c r="AZ40" s="161"/>
      <c r="BA40" s="161"/>
    </row>
    <row r="41" spans="1:54" ht="13.5" thickBot="1" x14ac:dyDescent="0.25">
      <c r="A41" s="161"/>
      <c r="B41" s="173"/>
      <c r="C41" s="478" t="s">
        <v>8</v>
      </c>
      <c r="D41" s="476" t="s">
        <v>6</v>
      </c>
      <c r="E41" s="472">
        <v>0.2</v>
      </c>
      <c r="F41" s="473"/>
      <c r="G41" s="18"/>
      <c r="H41" s="171"/>
      <c r="I41" s="422" t="s">
        <v>11</v>
      </c>
      <c r="J41" s="455" t="s">
        <v>6</v>
      </c>
      <c r="K41" s="457" t="s">
        <v>98</v>
      </c>
      <c r="L41" s="417"/>
      <c r="M41" s="417"/>
      <c r="N41" s="418"/>
      <c r="O41" s="460">
        <v>0.3</v>
      </c>
      <c r="P41" s="461"/>
      <c r="R41" s="171"/>
      <c r="S41" s="422" t="s">
        <v>11</v>
      </c>
      <c r="T41" s="455" t="s">
        <v>6</v>
      </c>
      <c r="U41" s="457" t="s">
        <v>98</v>
      </c>
      <c r="V41" s="417"/>
      <c r="W41" s="417"/>
      <c r="X41" s="417"/>
      <c r="Y41" s="417"/>
      <c r="Z41" s="417"/>
      <c r="AA41" s="417"/>
      <c r="AB41" s="417"/>
      <c r="AC41" s="417"/>
      <c r="AD41" s="417"/>
      <c r="AE41" s="417"/>
      <c r="AF41" s="418"/>
      <c r="AX41" s="161"/>
      <c r="AY41" s="161"/>
      <c r="AZ41" s="161"/>
      <c r="BA41" s="161"/>
    </row>
    <row r="42" spans="1:54" ht="13.5" thickBot="1" x14ac:dyDescent="0.25">
      <c r="A42" s="161"/>
      <c r="B42" s="174"/>
      <c r="C42" s="479"/>
      <c r="D42" s="477"/>
      <c r="E42" s="364" t="e">
        <f>AVERAGE(C43:C47)</f>
        <v>#DIV/0!</v>
      </c>
      <c r="F42" s="365"/>
      <c r="G42" s="18"/>
      <c r="H42" s="172"/>
      <c r="I42" s="444"/>
      <c r="J42" s="456"/>
      <c r="K42" s="168">
        <v>1</v>
      </c>
      <c r="L42" s="138">
        <v>2</v>
      </c>
      <c r="M42" s="138">
        <v>3</v>
      </c>
      <c r="N42" s="169">
        <v>4</v>
      </c>
      <c r="O42" s="364" t="e">
        <f>AVERAGE(I43:I47)</f>
        <v>#DIV/0!</v>
      </c>
      <c r="P42" s="365"/>
      <c r="R42" s="172"/>
      <c r="S42" s="444"/>
      <c r="T42" s="456"/>
      <c r="U42" s="168">
        <v>1</v>
      </c>
      <c r="V42" s="138">
        <v>2</v>
      </c>
      <c r="W42" s="138">
        <v>3</v>
      </c>
      <c r="X42" s="138">
        <v>4</v>
      </c>
      <c r="Y42" s="138">
        <v>5</v>
      </c>
      <c r="Z42" s="138">
        <v>6</v>
      </c>
      <c r="AA42" s="138">
        <v>7</v>
      </c>
      <c r="AB42" s="138">
        <v>8</v>
      </c>
      <c r="AC42" s="138">
        <v>9</v>
      </c>
      <c r="AD42" s="138">
        <v>10</v>
      </c>
      <c r="AE42" s="138">
        <v>11</v>
      </c>
      <c r="AF42" s="169">
        <v>12</v>
      </c>
      <c r="AI42" s="480" t="s">
        <v>106</v>
      </c>
      <c r="AJ42" s="481"/>
      <c r="AK42" s="481"/>
      <c r="AL42" s="481"/>
      <c r="AM42" s="481"/>
      <c r="AN42" s="481"/>
      <c r="AO42" s="481"/>
      <c r="AP42" s="481"/>
      <c r="AQ42" s="482"/>
      <c r="AX42" s="161"/>
      <c r="AY42" s="161"/>
      <c r="AZ42" s="161"/>
      <c r="BA42" s="161"/>
    </row>
    <row r="43" spans="1:54" x14ac:dyDescent="0.2">
      <c r="A43" s="161"/>
      <c r="B43" s="253">
        <v>1</v>
      </c>
      <c r="C43" s="243"/>
      <c r="D43" s="184" t="e">
        <f>RANK(C43,$C$43:$C$47)</f>
        <v>#N/A</v>
      </c>
      <c r="F43" s="161"/>
      <c r="G43" s="161"/>
      <c r="H43" s="250">
        <v>1</v>
      </c>
      <c r="I43" s="178" t="e">
        <f>AVERAGE(K43:N43)</f>
        <v>#DIV/0!</v>
      </c>
      <c r="J43" s="181" t="e">
        <f>RANK(I43,$I$43:$I$47)</f>
        <v>#DIV/0!</v>
      </c>
      <c r="K43" s="176"/>
      <c r="L43" s="238"/>
      <c r="M43" s="238"/>
      <c r="N43" s="239"/>
      <c r="O43" s="176"/>
      <c r="P43" s="177"/>
      <c r="R43" s="250">
        <v>1</v>
      </c>
      <c r="S43" s="178" t="e">
        <f>AVERAGE(U43:AF43)</f>
        <v>#DIV/0!</v>
      </c>
      <c r="T43" s="184" t="e">
        <f>RANK(S43,$S$43:$S$47)</f>
        <v>#DIV/0!</v>
      </c>
      <c r="U43" s="238"/>
      <c r="V43" s="238"/>
      <c r="W43" s="238"/>
      <c r="X43" s="238"/>
      <c r="Y43" s="238"/>
      <c r="Z43" s="247"/>
      <c r="AA43" s="247"/>
      <c r="AB43" s="238"/>
      <c r="AC43" s="238"/>
      <c r="AD43" s="238"/>
      <c r="AE43" s="248"/>
      <c r="AF43" s="249"/>
      <c r="AI43" s="200" t="str">
        <f>TR!AI43</f>
        <v>I. Clientele Satisfaction</v>
      </c>
      <c r="AJ43" s="201"/>
      <c r="AK43" s="201"/>
      <c r="AL43" s="201"/>
      <c r="AM43" s="201"/>
      <c r="AN43" s="201"/>
      <c r="AO43" s="9" t="e">
        <f>L9</f>
        <v>#DIV/0!</v>
      </c>
      <c r="AP43" s="463" t="e">
        <f>AO43*20</f>
        <v>#DIV/0!</v>
      </c>
      <c r="AQ43" s="464"/>
    </row>
    <row r="44" spans="1:54" x14ac:dyDescent="0.2">
      <c r="A44" s="161"/>
      <c r="B44" s="254">
        <v>2</v>
      </c>
      <c r="C44" s="244"/>
      <c r="D44" s="185" t="e">
        <f>RANK(C44,$C$43:$C$47)</f>
        <v>#N/A</v>
      </c>
      <c r="F44" s="161"/>
      <c r="G44" s="160"/>
      <c r="H44" s="251">
        <v>2</v>
      </c>
      <c r="I44" s="179" t="e">
        <f>AVERAGE(K44:N44)</f>
        <v>#DIV/0!</v>
      </c>
      <c r="J44" s="182" t="e">
        <f>RANK(I44,$I$43:$I$47)</f>
        <v>#DIV/0!</v>
      </c>
      <c r="K44" s="170"/>
      <c r="L44" s="163"/>
      <c r="M44" s="163"/>
      <c r="N44" s="240"/>
      <c r="O44" s="170"/>
      <c r="P44" s="163"/>
      <c r="R44" s="251">
        <v>2</v>
      </c>
      <c r="S44" s="179" t="e">
        <f>AVERAGE(U44:AF44)</f>
        <v>#DIV/0!</v>
      </c>
      <c r="T44" s="185" t="e">
        <f>RANK(S44,$S$43:$S$47)</f>
        <v>#DIV/0!</v>
      </c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40"/>
      <c r="AF44" s="234"/>
      <c r="AI44" s="200" t="str">
        <f>TR!AI44</f>
        <v>II. Leadership</v>
      </c>
      <c r="AJ44" s="201"/>
      <c r="AK44" s="201"/>
      <c r="AL44" s="201"/>
      <c r="AM44" s="201"/>
      <c r="AN44" s="201"/>
      <c r="AO44" s="9" t="e">
        <f>E42</f>
        <v>#DIV/0!</v>
      </c>
      <c r="AP44" s="463" t="e">
        <f>AO44*20</f>
        <v>#DIV/0!</v>
      </c>
      <c r="AQ44" s="464"/>
    </row>
    <row r="45" spans="1:54" x14ac:dyDescent="0.2">
      <c r="A45" s="161"/>
      <c r="B45" s="254">
        <v>3</v>
      </c>
      <c r="C45" s="244"/>
      <c r="D45" s="185" t="e">
        <f>RANK(C45,$C$43:$C$47)</f>
        <v>#N/A</v>
      </c>
      <c r="F45" s="161"/>
      <c r="G45" s="160"/>
      <c r="H45" s="251">
        <v>3</v>
      </c>
      <c r="I45" s="179" t="e">
        <f>AVERAGE(K45:N45)</f>
        <v>#DIV/0!</v>
      </c>
      <c r="J45" s="182" t="e">
        <f>RANK(I45,$I$43:$I$47)</f>
        <v>#DIV/0!</v>
      </c>
      <c r="K45" s="170"/>
      <c r="L45" s="163"/>
      <c r="M45" s="163"/>
      <c r="N45" s="240"/>
      <c r="O45" s="170"/>
      <c r="P45" s="163"/>
      <c r="R45" s="251">
        <v>3</v>
      </c>
      <c r="S45" s="179" t="e">
        <f>AVERAGE(U45:AF45)</f>
        <v>#DIV/0!</v>
      </c>
      <c r="T45" s="185" t="e">
        <f>RANK(S45,$S$43:$S$47)</f>
        <v>#DIV/0!</v>
      </c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40"/>
      <c r="AF45" s="234"/>
      <c r="AI45" s="200" t="str">
        <f>TR!AI45</f>
        <v>III. Partnership Development</v>
      </c>
      <c r="AJ45" s="201"/>
      <c r="AK45" s="201"/>
      <c r="AL45" s="201"/>
      <c r="AM45" s="201"/>
      <c r="AN45" s="201"/>
      <c r="AO45" s="9" t="e">
        <f>O42</f>
        <v>#DIV/0!</v>
      </c>
      <c r="AP45" s="463" t="e">
        <f>AO45*20</f>
        <v>#DIV/0!</v>
      </c>
      <c r="AQ45" s="464"/>
      <c r="AU45" s="467" t="str">
        <f>TI!DZ75</f>
        <v>DANIEL E. MALIGAT, JR., DIT</v>
      </c>
      <c r="AV45" s="467"/>
      <c r="AW45" s="467"/>
      <c r="AX45" s="467"/>
      <c r="AY45" s="467"/>
      <c r="AZ45" s="467"/>
      <c r="BA45" s="467"/>
      <c r="BB45" s="161"/>
    </row>
    <row r="46" spans="1:54" ht="13.5" thickBot="1" x14ac:dyDescent="0.25">
      <c r="A46" s="161"/>
      <c r="B46" s="254">
        <v>4</v>
      </c>
      <c r="C46" s="244"/>
      <c r="D46" s="185" t="e">
        <f>RANK(C46,$C$43:$C$47)</f>
        <v>#N/A</v>
      </c>
      <c r="F46" s="161"/>
      <c r="G46" s="160"/>
      <c r="H46" s="251">
        <v>4</v>
      </c>
      <c r="I46" s="179" t="e">
        <f>AVERAGE(K46:N46)</f>
        <v>#DIV/0!</v>
      </c>
      <c r="J46" s="182" t="e">
        <f>RANK(I46,$I$43:$I$47)</f>
        <v>#DIV/0!</v>
      </c>
      <c r="K46" s="170"/>
      <c r="L46" s="163"/>
      <c r="M46" s="163"/>
      <c r="N46" s="240"/>
      <c r="O46" s="170"/>
      <c r="P46" s="163"/>
      <c r="R46" s="251">
        <v>4</v>
      </c>
      <c r="S46" s="179" t="e">
        <f>AVERAGE(U46:AF46)</f>
        <v>#DIV/0!</v>
      </c>
      <c r="T46" s="185" t="e">
        <f>RANK(S46,$S$43:$S$47)</f>
        <v>#DIV/0!</v>
      </c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40"/>
      <c r="AF46" s="234"/>
      <c r="AI46" s="202" t="str">
        <f>TR!AI46</f>
        <v>IV. Community Responsibility</v>
      </c>
      <c r="AJ46" s="203"/>
      <c r="AK46" s="203"/>
      <c r="AL46" s="203"/>
      <c r="AM46" s="203"/>
      <c r="AN46" s="203"/>
      <c r="AO46" s="199" t="e">
        <f>AE40</f>
        <v>#DIV/0!</v>
      </c>
      <c r="AP46" s="465" t="e">
        <f>AO46*20</f>
        <v>#DIV/0!</v>
      </c>
      <c r="AQ46" s="466"/>
      <c r="AU46" s="462" t="str">
        <f>TI!DZ76</f>
        <v>DEAN</v>
      </c>
      <c r="AV46" s="462"/>
      <c r="AW46" s="462"/>
      <c r="AX46" s="462"/>
      <c r="AY46" s="462"/>
      <c r="AZ46" s="462"/>
      <c r="BA46" s="462"/>
      <c r="BB46" s="162"/>
    </row>
    <row r="47" spans="1:54" ht="13.5" thickBot="1" x14ac:dyDescent="0.25">
      <c r="A47" s="161"/>
      <c r="B47" s="255">
        <v>5</v>
      </c>
      <c r="C47" s="245"/>
      <c r="D47" s="246" t="e">
        <f>RANK(C47,$C$43:$C$47)</f>
        <v>#N/A</v>
      </c>
      <c r="F47" s="161"/>
      <c r="G47" s="161"/>
      <c r="H47" s="252">
        <v>5</v>
      </c>
      <c r="I47" s="180" t="e">
        <f>AVERAGE(K47:N47)</f>
        <v>#DIV/0!</v>
      </c>
      <c r="J47" s="183" t="e">
        <f>RANK(I47,$I$43:$I$47)</f>
        <v>#DIV/0!</v>
      </c>
      <c r="K47" s="235"/>
      <c r="L47" s="175"/>
      <c r="M47" s="175"/>
      <c r="N47" s="241"/>
      <c r="O47" s="170"/>
      <c r="P47" s="163"/>
      <c r="R47" s="252">
        <v>5</v>
      </c>
      <c r="S47" s="180" t="e">
        <f>AVERAGE(U47:AF47)</f>
        <v>#DIV/0!</v>
      </c>
      <c r="T47" s="256" t="e">
        <f>RANK(S47,$S$43:$S$47)</f>
        <v>#DIV/0!</v>
      </c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241"/>
      <c r="AR47" s="162"/>
      <c r="AS47" s="161"/>
      <c r="AT47" s="161"/>
      <c r="AU47" s="161"/>
      <c r="AV47" s="161"/>
      <c r="AW47" s="161"/>
      <c r="AX47" s="161"/>
    </row>
    <row r="48" spans="1:54" x14ac:dyDescent="0.2">
      <c r="A48" s="161"/>
      <c r="E48" s="161"/>
      <c r="F48" s="161"/>
      <c r="G48" s="161"/>
      <c r="H48" s="161"/>
      <c r="I48" s="161"/>
      <c r="J48" s="161"/>
      <c r="K48" s="161"/>
      <c r="L48" s="161"/>
      <c r="M48" s="161"/>
      <c r="N48" s="164"/>
      <c r="O48" s="164"/>
      <c r="P48" s="161"/>
      <c r="Q48" s="161"/>
      <c r="AG48" s="162"/>
      <c r="AH48" s="162"/>
      <c r="AI48" s="162"/>
      <c r="AJ48" s="162"/>
      <c r="AK48" s="162"/>
      <c r="AL48" s="162"/>
      <c r="AM48" s="162"/>
      <c r="AN48" s="161"/>
      <c r="AO48" s="162"/>
      <c r="AP48" s="161"/>
      <c r="AQ48" s="162"/>
      <c r="AR48" s="162"/>
      <c r="AS48" s="161"/>
      <c r="AT48" s="161"/>
      <c r="AU48" s="161"/>
      <c r="AV48" s="161"/>
      <c r="AW48" s="161"/>
      <c r="AX48" s="161"/>
    </row>
  </sheetData>
  <sheetProtection password="CA99" sheet="1" objects="1" scenarios="1"/>
  <mergeCells count="37">
    <mergeCell ref="D41:D42"/>
    <mergeCell ref="C41:C42"/>
    <mergeCell ref="B40:F40"/>
    <mergeCell ref="E10:BB10"/>
    <mergeCell ref="E17:BB17"/>
    <mergeCell ref="E24:BB24"/>
    <mergeCell ref="C10:C11"/>
    <mergeCell ref="D10:D11"/>
    <mergeCell ref="AC40:AD40"/>
    <mergeCell ref="AE40:AF40"/>
    <mergeCell ref="E41:F41"/>
    <mergeCell ref="I41:I42"/>
    <mergeCell ref="J41:J42"/>
    <mergeCell ref="E42:F42"/>
    <mergeCell ref="K41:N41"/>
    <mergeCell ref="AI42:AQ42"/>
    <mergeCell ref="B1:BB1"/>
    <mergeCell ref="B2:BB2"/>
    <mergeCell ref="B3:BB3"/>
    <mergeCell ref="B5:BB5"/>
    <mergeCell ref="B9:I9"/>
    <mergeCell ref="J9:K9"/>
    <mergeCell ref="L9:M9"/>
    <mergeCell ref="AP7:AX7"/>
    <mergeCell ref="F7:P7"/>
    <mergeCell ref="E31:BB31"/>
    <mergeCell ref="AU46:BA46"/>
    <mergeCell ref="O42:P42"/>
    <mergeCell ref="S41:S42"/>
    <mergeCell ref="T41:T42"/>
    <mergeCell ref="U41:AF41"/>
    <mergeCell ref="AP46:AQ46"/>
    <mergeCell ref="AP43:AQ43"/>
    <mergeCell ref="AP44:AQ44"/>
    <mergeCell ref="AU45:BA45"/>
    <mergeCell ref="O41:P41"/>
    <mergeCell ref="AP45:AQ45"/>
  </mergeCells>
  <phoneticPr fontId="0" type="noConversion"/>
  <dataValidations count="3">
    <dataValidation type="whole" allowBlank="1" showInputMessage="1" showErrorMessage="1" errorTitle="Invalid Data" error="Whole number 1 to 5 only." sqref="F38:BC38" xr:uid="{00000000-0002-0000-0600-000000000000}">
      <formula1>1</formula1>
      <formula2>5</formula2>
    </dataValidation>
    <dataValidation type="whole" allowBlank="1" showErrorMessage="1" errorTitle="Invalid Data" error="Whole number 1 to 5 only." sqref="O43:P47" xr:uid="{00000000-0002-0000-0600-000001000000}">
      <formula1>1</formula1>
      <formula2>5</formula2>
    </dataValidation>
    <dataValidation type="whole" allowBlank="1" showErrorMessage="1" errorTitle="Invalid Data" error="Whole number from 1 to 5 only." sqref="E12:BB16 E19:BB23 E26:BB30 E33:BB37 C43:C47 K43:N47 U43:AF47" xr:uid="{00000000-0002-0000-0600-000002000000}">
      <formula1>1</formula1>
      <formula2>5</formula2>
    </dataValidation>
  </dataValidations>
  <pageMargins left="0.5" right="0.25" top="0.75" bottom="0.75" header="0.5" footer="0.5"/>
  <pageSetup paperSize="291" scale="76" orientation="landscape" blackAndWhite="1" horizontalDpi="4294967295" verticalDpi="144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tabColor indexed="10"/>
  </sheetPr>
  <dimension ref="B1:H55"/>
  <sheetViews>
    <sheetView showZeros="0" topLeftCell="A7" zoomScale="75" workbookViewId="0">
      <selection activeCell="C43" sqref="C43"/>
    </sheetView>
  </sheetViews>
  <sheetFormatPr defaultRowHeight="12.75" x14ac:dyDescent="0.2"/>
  <cols>
    <col min="1" max="1" width="1.85546875" customWidth="1"/>
    <col min="2" max="2" width="20.140625" customWidth="1"/>
    <col min="8" max="8" width="10.140625" bestFit="1" customWidth="1"/>
  </cols>
  <sheetData>
    <row r="1" spans="2:8" x14ac:dyDescent="0.2">
      <c r="B1" t="s">
        <v>43</v>
      </c>
    </row>
    <row r="4" spans="2:8" x14ac:dyDescent="0.2">
      <c r="B4" s="353" t="s">
        <v>1</v>
      </c>
      <c r="C4" s="353"/>
      <c r="D4" s="353"/>
      <c r="E4" s="353"/>
      <c r="F4" s="353"/>
      <c r="G4" s="353"/>
      <c r="H4" s="353"/>
    </row>
    <row r="5" spans="2:8" x14ac:dyDescent="0.2">
      <c r="B5" s="353" t="s">
        <v>2</v>
      </c>
      <c r="C5" s="353"/>
      <c r="D5" s="353"/>
      <c r="E5" s="353"/>
      <c r="F5" s="353"/>
      <c r="G5" s="353"/>
      <c r="H5" s="353"/>
    </row>
    <row r="7" spans="2:8" x14ac:dyDescent="0.2">
      <c r="B7" s="353" t="s">
        <v>28</v>
      </c>
      <c r="C7" s="353"/>
      <c r="D7" s="353"/>
      <c r="E7" s="353"/>
      <c r="F7" s="353"/>
      <c r="G7" s="353"/>
      <c r="H7" s="353"/>
    </row>
    <row r="8" spans="2:8" x14ac:dyDescent="0.2">
      <c r="B8" s="353" t="s">
        <v>29</v>
      </c>
      <c r="C8" s="353"/>
      <c r="D8" s="353"/>
      <c r="E8" s="353"/>
      <c r="F8" s="353"/>
      <c r="G8" s="353"/>
      <c r="H8" s="353"/>
    </row>
    <row r="9" spans="2:8" x14ac:dyDescent="0.2">
      <c r="C9" s="1" t="s">
        <v>30</v>
      </c>
      <c r="E9" s="438" t="s">
        <v>209</v>
      </c>
      <c r="F9" s="438"/>
      <c r="G9" s="438"/>
    </row>
    <row r="12" spans="2:8" x14ac:dyDescent="0.2">
      <c r="B12" t="s">
        <v>41</v>
      </c>
      <c r="C12" s="438" t="str">
        <f>TI!DC6</f>
        <v xml:space="preserve">,  </v>
      </c>
      <c r="D12" s="438"/>
      <c r="E12" s="438"/>
      <c r="F12" s="438"/>
    </row>
    <row r="13" spans="2:8" x14ac:dyDescent="0.2">
      <c r="B13" t="s">
        <v>42</v>
      </c>
      <c r="C13" s="408">
        <f>TI!MG6</f>
        <v>0</v>
      </c>
      <c r="D13" s="408"/>
      <c r="E13" s="408"/>
      <c r="F13" s="408"/>
    </row>
    <row r="15" spans="2:8" x14ac:dyDescent="0.2">
      <c r="B15" s="87" t="s">
        <v>49</v>
      </c>
    </row>
    <row r="16" spans="2:8" ht="13.5" thickBot="1" x14ac:dyDescent="0.25">
      <c r="B16" s="44" t="s">
        <v>38</v>
      </c>
    </row>
    <row r="17" spans="2:8" x14ac:dyDescent="0.2">
      <c r="B17" s="45" t="s">
        <v>31</v>
      </c>
      <c r="C17" s="485" t="s">
        <v>36</v>
      </c>
      <c r="D17" s="486"/>
      <c r="E17" s="486"/>
      <c r="F17" s="486"/>
      <c r="G17" s="487"/>
      <c r="H17" s="46" t="s">
        <v>34</v>
      </c>
    </row>
    <row r="18" spans="2:8" ht="13.5" thickBot="1" x14ac:dyDescent="0.25">
      <c r="B18" s="35" t="s">
        <v>32</v>
      </c>
      <c r="C18" s="47">
        <v>1</v>
      </c>
      <c r="D18" s="48">
        <v>2</v>
      </c>
      <c r="E18" s="48">
        <v>3</v>
      </c>
      <c r="F18" s="48">
        <v>4</v>
      </c>
      <c r="G18" s="49">
        <v>5</v>
      </c>
      <c r="H18" s="50" t="s">
        <v>35</v>
      </c>
    </row>
    <row r="19" spans="2:8" x14ac:dyDescent="0.2">
      <c r="B19" s="51">
        <v>1</v>
      </c>
      <c r="C19" s="127">
        <f>COUNTIF(TI!$DC12:$EF12,"=1")</f>
        <v>0</v>
      </c>
      <c r="D19" s="126">
        <f>COUNTIF(TI!$DC12:$EF12,"=2")</f>
        <v>0</v>
      </c>
      <c r="E19" s="126">
        <f>COUNTIF(TI!$DC12:$EF12,"=3")</f>
        <v>0</v>
      </c>
      <c r="F19" s="126">
        <f>COUNTIF(TI!$DC12:$EF12,"=4")</f>
        <v>0</v>
      </c>
      <c r="G19" s="128">
        <f>COUNTIF(TI!$DC12:$EF12,"=5")</f>
        <v>0</v>
      </c>
      <c r="H19" s="62">
        <f t="array" ref="H19">IF(SUM(C19:G19)=0,,SUM((C19:G19)*($C$18:$G$18))/SUM(C19:G19))</f>
        <v>0</v>
      </c>
    </row>
    <row r="20" spans="2:8" x14ac:dyDescent="0.2">
      <c r="B20" s="51">
        <v>2</v>
      </c>
      <c r="C20" s="127">
        <f>COUNTIF(TI!$DC13:$EF13,"=1")</f>
        <v>0</v>
      </c>
      <c r="D20" s="126">
        <f>COUNTIF(TI!$DC13:$EF13,"=2")</f>
        <v>0</v>
      </c>
      <c r="E20" s="126">
        <f>COUNTIF(TI!$DC13:$EF13,"=3")</f>
        <v>0</v>
      </c>
      <c r="F20" s="126">
        <f>COUNTIF(TI!$DC13:$EF13,"=4")</f>
        <v>0</v>
      </c>
      <c r="G20" s="128">
        <f>COUNTIF(TI!$DC13:$EF13,"=5")</f>
        <v>0</v>
      </c>
      <c r="H20" s="62">
        <f t="array" ref="H20">IF(SUM(C20:G20)=0,,SUM((C20:G20)*($C$18:$G$18))/SUM(C20:G20))</f>
        <v>0</v>
      </c>
    </row>
    <row r="21" spans="2:8" x14ac:dyDescent="0.2">
      <c r="B21" s="51">
        <v>3</v>
      </c>
      <c r="C21" s="127">
        <f>COUNTIF(TI!$DC14:$EF14,"=1")</f>
        <v>0</v>
      </c>
      <c r="D21" s="126">
        <f>COUNTIF(TI!$DC14:$EF14,"=2")</f>
        <v>0</v>
      </c>
      <c r="E21" s="126">
        <f>COUNTIF(TI!$DC14:$EF14,"=3")</f>
        <v>0</v>
      </c>
      <c r="F21" s="126">
        <f>COUNTIF(TI!$DC14:$EF14,"=4")</f>
        <v>0</v>
      </c>
      <c r="G21" s="128">
        <f>COUNTIF(TI!$DC14:$EF14,"=5")</f>
        <v>0</v>
      </c>
      <c r="H21" s="62">
        <f t="array" ref="H21">IF(SUM(C21:G21)=0,,SUM((C21:G21)*($C$18:$G$18))/SUM(C21:G21))</f>
        <v>0</v>
      </c>
    </row>
    <row r="22" spans="2:8" x14ac:dyDescent="0.2">
      <c r="B22" s="52">
        <v>4</v>
      </c>
      <c r="C22" s="129">
        <f>COUNTIF(TI!$DC15:$EF15,"=1")</f>
        <v>0</v>
      </c>
      <c r="D22" s="130">
        <f>COUNTIF(TI!$DC15:$EF15,"=2")</f>
        <v>0</v>
      </c>
      <c r="E22" s="130">
        <f>COUNTIF(TI!$DC15:$EF15,"=3")</f>
        <v>0</v>
      </c>
      <c r="F22" s="130">
        <f>COUNTIF(TI!$DC15:$EF15,"=4")</f>
        <v>0</v>
      </c>
      <c r="G22" s="131">
        <f>COUNTIF(TI!$DC15:$EF15,"=5")</f>
        <v>0</v>
      </c>
      <c r="H22" s="63">
        <f t="array" ref="H22">IF(SUM(C22:G22)=0,,SUM((C22:G22)*($C$18:$G$18))/SUM(C22:G22))</f>
        <v>0</v>
      </c>
    </row>
    <row r="23" spans="2:8" ht="13.5" thickBot="1" x14ac:dyDescent="0.25">
      <c r="B23" s="52">
        <v>5</v>
      </c>
      <c r="C23" s="129">
        <f>COUNTIF(TI!$DC16:$EF16,"=1")</f>
        <v>0</v>
      </c>
      <c r="D23" s="130">
        <f>COUNTIF(TI!$DC16:$EF16,"=2")</f>
        <v>0</v>
      </c>
      <c r="E23" s="130">
        <f>COUNTIF(TI!$DC16:$EF16,"=3")</f>
        <v>0</v>
      </c>
      <c r="F23" s="130">
        <f>COUNTIF(TI!$DC16:$EF16,"=4")</f>
        <v>0</v>
      </c>
      <c r="G23" s="131">
        <f>COUNTIF(TI!$DC16:$EF16,"=5")</f>
        <v>0</v>
      </c>
      <c r="H23" s="63">
        <f t="array" ref="H23">IF(SUM(C23:G23)=0,,SUM((C23:G23)*($C$18:$G$18))/SUM(C23:G23))</f>
        <v>0</v>
      </c>
    </row>
    <row r="24" spans="2:8" ht="13.5" thickBot="1" x14ac:dyDescent="0.25">
      <c r="B24" s="57" t="s">
        <v>33</v>
      </c>
      <c r="C24" s="59">
        <f>SUM(C19:C23)*C$18</f>
        <v>0</v>
      </c>
      <c r="D24" s="60">
        <f>SUM(D19:D23)*D$18</f>
        <v>0</v>
      </c>
      <c r="E24" s="60">
        <f>SUM(E19:E23)*E$18</f>
        <v>0</v>
      </c>
      <c r="F24" s="60">
        <f>SUM(F19:F23)*F$18</f>
        <v>0</v>
      </c>
      <c r="G24" s="61">
        <f>SUM(G19:G23)*G$18</f>
        <v>0</v>
      </c>
      <c r="H24" s="65">
        <f>SUM(H19:H23)*4</f>
        <v>0</v>
      </c>
    </row>
    <row r="26" spans="2:8" ht="13.5" thickBot="1" x14ac:dyDescent="0.25">
      <c r="B26" t="s">
        <v>37</v>
      </c>
    </row>
    <row r="27" spans="2:8" x14ac:dyDescent="0.2">
      <c r="B27" s="58">
        <v>1</v>
      </c>
      <c r="C27" s="134">
        <f>COUNTIF(TI!$DC18:$EF18,"=1")</f>
        <v>0</v>
      </c>
      <c r="D27" s="133">
        <f>COUNTIF(TI!$DC18:$EF18,"=2")</f>
        <v>0</v>
      </c>
      <c r="E27" s="133">
        <f>COUNTIF(TI!$DC18:$EF18,"=3")</f>
        <v>0</v>
      </c>
      <c r="F27" s="133">
        <f>COUNTIF(TI!$DC18:$EF18,"=4")</f>
        <v>0</v>
      </c>
      <c r="G27" s="132">
        <f>COUNTIF(TI!$DC18:$EF18,"=5")</f>
        <v>0</v>
      </c>
      <c r="H27" s="66">
        <f t="array" ref="H27">IF(SUM(C27:G27)=0,,SUM((C27:G27)*($C$18:$G$18))/SUM(C27:G27))</f>
        <v>0</v>
      </c>
    </row>
    <row r="28" spans="2:8" x14ac:dyDescent="0.2">
      <c r="B28" s="51">
        <v>2</v>
      </c>
      <c r="C28" s="127">
        <f>COUNTIF(TI!$DC19:$EF19,"=1")</f>
        <v>0</v>
      </c>
      <c r="D28" s="126">
        <f>COUNTIF(TI!$DC19:$EF19,"=2")</f>
        <v>0</v>
      </c>
      <c r="E28" s="126">
        <f>COUNTIF(TI!$DC19:$EF19,"=3")</f>
        <v>0</v>
      </c>
      <c r="F28" s="126">
        <f>COUNTIF(TI!$DC19:$EF19,"=4")</f>
        <v>0</v>
      </c>
      <c r="G28" s="128">
        <f>COUNTIF(TI!$DC19:$EF19,"=5")</f>
        <v>0</v>
      </c>
      <c r="H28" s="62">
        <f t="array" ref="H28">IF(SUM(C28:G28)=0,,SUM((C28:G28)*($C$18:$G$18))/SUM(C28:G28))</f>
        <v>0</v>
      </c>
    </row>
    <row r="29" spans="2:8" x14ac:dyDescent="0.2">
      <c r="B29" s="51">
        <v>3</v>
      </c>
      <c r="C29" s="127">
        <f>COUNTIF(TI!$DC20:$EF20,"=1")</f>
        <v>0</v>
      </c>
      <c r="D29" s="126">
        <f>COUNTIF(TI!$DC20:$EF20,"=2")</f>
        <v>0</v>
      </c>
      <c r="E29" s="126">
        <f>COUNTIF(TI!$DC20:$EF20,"=3")</f>
        <v>0</v>
      </c>
      <c r="F29" s="126">
        <f>COUNTIF(TI!$DC20:$EF20,"=4")</f>
        <v>0</v>
      </c>
      <c r="G29" s="128">
        <f>COUNTIF(TI!$DC20:$EF20,"=5")</f>
        <v>0</v>
      </c>
      <c r="H29" s="62">
        <f t="array" ref="H29">IF(SUM(C29:G29)=0,,SUM((C29:G29)*($C$18:$G$18))/SUM(C29:G29))</f>
        <v>0</v>
      </c>
    </row>
    <row r="30" spans="2:8" x14ac:dyDescent="0.2">
      <c r="B30" s="52">
        <v>4</v>
      </c>
      <c r="C30" s="53">
        <f>COUNTIF(TI!$DC21:$EF21,"=1")</f>
        <v>0</v>
      </c>
      <c r="D30" s="54">
        <f>COUNTIF(TI!$DC21:$EF21,"=2")</f>
        <v>0</v>
      </c>
      <c r="E30" s="54">
        <f>COUNTIF(TI!$DC21:$EF21,"=3")</f>
        <v>0</v>
      </c>
      <c r="F30" s="54">
        <f>COUNTIF(TI!$DC21:$EF21,"=4")</f>
        <v>0</v>
      </c>
      <c r="G30" s="55">
        <f>COUNTIF(TI!$DC21:$EF21,"=5")</f>
        <v>0</v>
      </c>
      <c r="H30" s="63">
        <f t="array" ref="H30">IF(SUM(C30:G30)=0,,SUM((C30:G30)*($C$18:$G$18))/SUM(C30:G30))</f>
        <v>0</v>
      </c>
    </row>
    <row r="31" spans="2:8" ht="13.5" thickBot="1" x14ac:dyDescent="0.25">
      <c r="B31" s="52">
        <v>5</v>
      </c>
      <c r="C31" s="53">
        <f>COUNTIF(TI!$DC22:$EF22,"=1")</f>
        <v>0</v>
      </c>
      <c r="D31" s="54">
        <f>COUNTIF(TI!$DC22:$EF22,"=2")</f>
        <v>0</v>
      </c>
      <c r="E31" s="54">
        <f>COUNTIF(TI!$DC22:$EF22,"=3")</f>
        <v>0</v>
      </c>
      <c r="F31" s="54">
        <f>COUNTIF(TI!$DC22:$EF22,"=4")</f>
        <v>0</v>
      </c>
      <c r="G31" s="55">
        <f>COUNTIF(TI!$DC22:$EF22,"=5")</f>
        <v>0</v>
      </c>
      <c r="H31" s="63">
        <f t="array" ref="H31">IF(SUM(C31:G31)=0,,SUM((C31:G31)*($C$18:$G$18))/SUM(C31:G31))</f>
        <v>0</v>
      </c>
    </row>
    <row r="32" spans="2:8" ht="13.5" thickBot="1" x14ac:dyDescent="0.25">
      <c r="B32" s="57" t="s">
        <v>33</v>
      </c>
      <c r="C32" s="59">
        <f>SUM(C27:C31)*C$18</f>
        <v>0</v>
      </c>
      <c r="D32" s="60">
        <f>SUM(D27:D31)*D$18</f>
        <v>0</v>
      </c>
      <c r="E32" s="60">
        <f>SUM(E27:E31)*E$18</f>
        <v>0</v>
      </c>
      <c r="F32" s="60">
        <f>SUM(F27:F31)*F$18</f>
        <v>0</v>
      </c>
      <c r="G32" s="61">
        <f>SUM(G27:G31)*G$18</f>
        <v>0</v>
      </c>
      <c r="H32" s="65">
        <f>SUM(H27:H31)*4</f>
        <v>0</v>
      </c>
    </row>
    <row r="34" spans="2:8" ht="13.5" thickBot="1" x14ac:dyDescent="0.25">
      <c r="B34" t="s">
        <v>39</v>
      </c>
    </row>
    <row r="35" spans="2:8" x14ac:dyDescent="0.2">
      <c r="B35" s="58">
        <v>1</v>
      </c>
      <c r="C35" s="134">
        <f>COUNTIF(TI!$DC24:$EF24,"=1")</f>
        <v>0</v>
      </c>
      <c r="D35" s="133">
        <f>COUNTIF(TI!$DC24:$EF24,"=2")</f>
        <v>0</v>
      </c>
      <c r="E35" s="133">
        <f>COUNTIF(TI!$DC24:$EF24,"=3")</f>
        <v>0</v>
      </c>
      <c r="F35" s="133">
        <f>COUNTIF(TI!$DC24:$EF24,"=4")</f>
        <v>0</v>
      </c>
      <c r="G35" s="132">
        <f>COUNTIF(TI!$DC24:$EF24,"=5")</f>
        <v>0</v>
      </c>
      <c r="H35" s="66">
        <f t="array" ref="H35">IF(SUM(C35:G35)=0,,SUM((C35:G35)*($C$18:$G$18))/SUM(C35:G35))</f>
        <v>0</v>
      </c>
    </row>
    <row r="36" spans="2:8" x14ac:dyDescent="0.2">
      <c r="B36" s="52">
        <v>2</v>
      </c>
      <c r="C36" s="53">
        <f>COUNTIF(TI!$DC25:$EF25,"=1")</f>
        <v>0</v>
      </c>
      <c r="D36" s="54">
        <f>COUNTIF(TI!$DC25:$EF25,"=2")</f>
        <v>0</v>
      </c>
      <c r="E36" s="54">
        <f>COUNTIF(TI!$DC25:$EF25,"=3")</f>
        <v>0</v>
      </c>
      <c r="F36" s="54">
        <f>COUNTIF(TI!$DC25:$EF25,"=4")</f>
        <v>0</v>
      </c>
      <c r="G36" s="55">
        <f>COUNTIF(TI!$DC25:$EF25,"=5")</f>
        <v>0</v>
      </c>
      <c r="H36" s="63">
        <f t="array" ref="H36">IF(SUM(C36:G36)=0,,SUM((C36:G36)*($C$18:$G$18))/SUM(C36:G36))</f>
        <v>0</v>
      </c>
    </row>
    <row r="37" spans="2:8" x14ac:dyDescent="0.2">
      <c r="B37" s="52">
        <v>3</v>
      </c>
      <c r="C37" s="53">
        <f>COUNTIF(TI!$DC26:$EF26,"=1")</f>
        <v>0</v>
      </c>
      <c r="D37" s="54">
        <f>COUNTIF(TI!$DC26:$EF26,"=2")</f>
        <v>0</v>
      </c>
      <c r="E37" s="54">
        <f>COUNTIF(TI!$DC26:$EF26,"=3")</f>
        <v>0</v>
      </c>
      <c r="F37" s="54">
        <f>COUNTIF(TI!$DC26:$EF26,"=4")</f>
        <v>0</v>
      </c>
      <c r="G37" s="55">
        <f>COUNTIF(TI!$DC26:$EF26,"=5")</f>
        <v>0</v>
      </c>
      <c r="H37" s="63">
        <f t="array" ref="H37">IF(SUM(C37:G37)=0,,SUM((C37:G37)*($C$18:$G$18))/SUM(C37:G37))</f>
        <v>0</v>
      </c>
    </row>
    <row r="38" spans="2:8" x14ac:dyDescent="0.2">
      <c r="B38" s="52">
        <v>4</v>
      </c>
      <c r="C38" s="53">
        <f>COUNTIF(TI!$DC27:$EF27,"=1")</f>
        <v>0</v>
      </c>
      <c r="D38" s="54">
        <f>COUNTIF(TI!$DC27:$EF27,"=2")</f>
        <v>0</v>
      </c>
      <c r="E38" s="54">
        <f>COUNTIF(TI!$DC27:$EF27,"=3")</f>
        <v>0</v>
      </c>
      <c r="F38" s="54">
        <f>COUNTIF(TI!$DC27:$EF27,"=4")</f>
        <v>0</v>
      </c>
      <c r="G38" s="55">
        <f>COUNTIF(TI!$DC27:$EF27,"=5")</f>
        <v>0</v>
      </c>
      <c r="H38" s="63">
        <f t="array" ref="H38">IF(SUM(C38:G38)=0,,SUM((C38:G38)*($C$18:$G$18))/SUM(C38:G38))</f>
        <v>0</v>
      </c>
    </row>
    <row r="39" spans="2:8" ht="13.5" thickBot="1" x14ac:dyDescent="0.25">
      <c r="B39" s="52">
        <v>5</v>
      </c>
      <c r="C39" s="53">
        <f>COUNTIF(TI!$DC28:$EF28,"=1")</f>
        <v>0</v>
      </c>
      <c r="D39" s="54">
        <f>COUNTIF(TI!$DC28:$EF28,"=2")</f>
        <v>0</v>
      </c>
      <c r="E39" s="54">
        <f>COUNTIF(TI!$DC28:$EF28,"=3")</f>
        <v>0</v>
      </c>
      <c r="F39" s="54">
        <f>COUNTIF(TI!$DC28:$EF28,"=4")</f>
        <v>0</v>
      </c>
      <c r="G39" s="55">
        <f>COUNTIF(TI!$DC28:$EF28,"=5")</f>
        <v>0</v>
      </c>
      <c r="H39" s="63">
        <f t="array" ref="H39">IF(SUM(C39:G39)=0,,SUM((C39:G39)*($C$18:$G$18))/SUM(C39:G39))</f>
        <v>0</v>
      </c>
    </row>
    <row r="40" spans="2:8" ht="13.5" thickBot="1" x14ac:dyDescent="0.25">
      <c r="B40" s="57" t="s">
        <v>33</v>
      </c>
      <c r="C40" s="59">
        <f>SUM(C35:C39)*C$18</f>
        <v>0</v>
      </c>
      <c r="D40" s="60">
        <f>SUM(D35:D39)*D$18</f>
        <v>0</v>
      </c>
      <c r="E40" s="60">
        <f>SUM(E35:E39)*E$18</f>
        <v>0</v>
      </c>
      <c r="F40" s="60">
        <f>SUM(F35:F39)*F$18</f>
        <v>0</v>
      </c>
      <c r="G40" s="61">
        <f>SUM(G35:G39)*G$18</f>
        <v>0</v>
      </c>
      <c r="H40" s="65">
        <f>SUM(H35:H39)*4</f>
        <v>0</v>
      </c>
    </row>
    <row r="42" spans="2:8" ht="13.5" thickBot="1" x14ac:dyDescent="0.25">
      <c r="B42" t="s">
        <v>40</v>
      </c>
    </row>
    <row r="43" spans="2:8" x14ac:dyDescent="0.2">
      <c r="B43" s="58">
        <v>1</v>
      </c>
      <c r="C43" s="134">
        <f>COUNTIF(TI!$DC30:$EF30,"=1")</f>
        <v>0</v>
      </c>
      <c r="D43" s="133">
        <f>COUNTIF(TI!$DC30:$EF30,"=2")</f>
        <v>0</v>
      </c>
      <c r="E43" s="133">
        <f>COUNTIF(TI!$DC30:$EF30,"=3")</f>
        <v>0</v>
      </c>
      <c r="F43" s="133">
        <f>COUNTIF(TI!$DC30:$EF30,"=4")</f>
        <v>0</v>
      </c>
      <c r="G43" s="132">
        <f>COUNTIF(TI!$DC30:$EF30,"=5")</f>
        <v>0</v>
      </c>
      <c r="H43" s="66">
        <f t="array" ref="H43">IF(SUM(C43:G43)=0,,SUM((C43:G43)*($C$18:$G$18))/SUM(C43:G43))</f>
        <v>0</v>
      </c>
    </row>
    <row r="44" spans="2:8" x14ac:dyDescent="0.2">
      <c r="B44" s="52">
        <v>2</v>
      </c>
      <c r="C44" s="53">
        <f>COUNTIF(TI!$DC31:$EF31,"=1")</f>
        <v>0</v>
      </c>
      <c r="D44" s="54">
        <f>COUNTIF(TI!$DC31:$EF31,"=2")</f>
        <v>0</v>
      </c>
      <c r="E44" s="54">
        <f>COUNTIF(TI!$DC31:$EF31,"=3")</f>
        <v>0</v>
      </c>
      <c r="F44" s="54">
        <f>COUNTIF(TI!$DC31:$EF31,"=4")</f>
        <v>0</v>
      </c>
      <c r="G44" s="55">
        <f>COUNTIF(TI!$DC31:$EF31,"=5")</f>
        <v>0</v>
      </c>
      <c r="H44" s="63">
        <f t="array" ref="H44">IF(SUM(C44:G44)=0,,SUM((C44:G44)*($C$18:$G$18))/SUM(C44:G44))</f>
        <v>0</v>
      </c>
    </row>
    <row r="45" spans="2:8" x14ac:dyDescent="0.2">
      <c r="B45" s="52">
        <v>3</v>
      </c>
      <c r="C45" s="53">
        <f>COUNTIF(TI!$DC32:$EF32,"=1")</f>
        <v>0</v>
      </c>
      <c r="D45" s="54">
        <f>COUNTIF(TI!$DC32:$EF32,"=2")</f>
        <v>0</v>
      </c>
      <c r="E45" s="54">
        <f>COUNTIF(TI!$DC32:$EF32,"=3")</f>
        <v>0</v>
      </c>
      <c r="F45" s="54">
        <f>COUNTIF(TI!$DC32:$EF32,"=4")</f>
        <v>0</v>
      </c>
      <c r="G45" s="55">
        <f>COUNTIF(TI!$DC32:$EF32,"=5")</f>
        <v>0</v>
      </c>
      <c r="H45" s="63">
        <f t="array" ref="H45">IF(SUM(C45:G45)=0,,SUM((C45:G45)*($C$18:$G$18))/SUM(C45:G45))</f>
        <v>0</v>
      </c>
    </row>
    <row r="46" spans="2:8" x14ac:dyDescent="0.2">
      <c r="B46" s="52">
        <v>4</v>
      </c>
      <c r="C46" s="53">
        <f>COUNTIF(TI!$DC33:$EF33,"=1")</f>
        <v>0</v>
      </c>
      <c r="D46" s="54">
        <f>COUNTIF(TI!$DC33:$EF33,"=2")</f>
        <v>0</v>
      </c>
      <c r="E46" s="54">
        <f>COUNTIF(TI!$DC33:$EF33,"=3")</f>
        <v>0</v>
      </c>
      <c r="F46" s="54">
        <f>COUNTIF(TI!$DC33:$EF33,"=4")</f>
        <v>0</v>
      </c>
      <c r="G46" s="55">
        <f>COUNTIF(TI!$DC33:$EF33,"=5")</f>
        <v>0</v>
      </c>
      <c r="H46" s="63">
        <f t="array" ref="H46">IF(SUM(C46:G46)=0,,SUM((C46:G46)*($C$18:$G$18))/SUM(C46:G46))</f>
        <v>0</v>
      </c>
    </row>
    <row r="47" spans="2:8" ht="13.5" thickBot="1" x14ac:dyDescent="0.25">
      <c r="B47" s="52">
        <v>5</v>
      </c>
      <c r="C47" s="53">
        <f>COUNTIF(TI!$DC34:$EF34,"=1")</f>
        <v>0</v>
      </c>
      <c r="D47" s="54">
        <f>COUNTIF(TI!$DC34:$EF34,"=2")</f>
        <v>0</v>
      </c>
      <c r="E47" s="54">
        <f>COUNTIF(TI!$DC34:$EF34,"=3")</f>
        <v>0</v>
      </c>
      <c r="F47" s="54">
        <f>COUNTIF(TI!$DC34:$EF34,"=4")</f>
        <v>0</v>
      </c>
      <c r="G47" s="55">
        <f>COUNTIF(TI!$DC34:$EF34,"=5")</f>
        <v>0</v>
      </c>
      <c r="H47" s="63">
        <f t="array" ref="H47">IF(SUM(C47:G47)=0,,SUM((C47:G47)*($C$18:$G$18))/SUM(C47:G47))</f>
        <v>0</v>
      </c>
    </row>
    <row r="48" spans="2:8" ht="13.5" thickBot="1" x14ac:dyDescent="0.25">
      <c r="B48" s="57" t="s">
        <v>33</v>
      </c>
      <c r="C48" s="59">
        <f>SUM(C43:C47)*C$18</f>
        <v>0</v>
      </c>
      <c r="D48" s="60">
        <f>SUM(D43:D47)*D$18</f>
        <v>0</v>
      </c>
      <c r="E48" s="60">
        <f>SUM(E43:E47)*E$18</f>
        <v>0</v>
      </c>
      <c r="F48" s="60">
        <f>SUM(F43:F47)*F$18</f>
        <v>0</v>
      </c>
      <c r="G48" s="61">
        <f>SUM(G43:G47)*G$18</f>
        <v>0</v>
      </c>
      <c r="H48" s="65">
        <f>SUM(H43:H47)*4</f>
        <v>0</v>
      </c>
    </row>
    <row r="54" spans="6:8" x14ac:dyDescent="0.2">
      <c r="F54" s="438" t="str">
        <f>TI!DZ75</f>
        <v>DANIEL E. MALIGAT, JR., DIT</v>
      </c>
      <c r="G54" s="438"/>
      <c r="H54" s="438"/>
    </row>
    <row r="55" spans="6:8" x14ac:dyDescent="0.2">
      <c r="F55" s="453" t="str">
        <f>TI!DZ76</f>
        <v>DEAN</v>
      </c>
      <c r="G55" s="453"/>
      <c r="H55" s="453"/>
    </row>
  </sheetData>
  <sheetProtection password="CA99" sheet="1" objects="1" scenarios="1"/>
  <mergeCells count="10">
    <mergeCell ref="F54:H54"/>
    <mergeCell ref="F55:H55"/>
    <mergeCell ref="C17:G17"/>
    <mergeCell ref="B4:H4"/>
    <mergeCell ref="B5:H5"/>
    <mergeCell ref="B7:H7"/>
    <mergeCell ref="B8:H8"/>
    <mergeCell ref="E9:G9"/>
    <mergeCell ref="C12:F12"/>
    <mergeCell ref="C13:F13"/>
  </mergeCells>
  <phoneticPr fontId="4" type="noConversion"/>
  <printOptions horizontalCentered="1"/>
  <pageMargins left="0.75" right="0.5" top="0.75" bottom="1" header="0.5" footer="0.5"/>
  <pageSetup paperSize="291" orientation="portrait" blackAndWhite="1" horizontalDpi="4294967295" verticalDpi="7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>
    <tabColor indexed="10"/>
  </sheetPr>
  <dimension ref="B1:H55"/>
  <sheetViews>
    <sheetView showZeros="0" zoomScale="75" workbookViewId="0"/>
  </sheetViews>
  <sheetFormatPr defaultRowHeight="12.75" x14ac:dyDescent="0.2"/>
  <cols>
    <col min="1" max="1" width="1.85546875" customWidth="1"/>
    <col min="2" max="2" width="20.140625" customWidth="1"/>
    <col min="8" max="8" width="10.140625" bestFit="1" customWidth="1"/>
  </cols>
  <sheetData>
    <row r="1" spans="2:8" x14ac:dyDescent="0.2">
      <c r="B1" t="s">
        <v>43</v>
      </c>
    </row>
    <row r="4" spans="2:8" x14ac:dyDescent="0.2">
      <c r="B4" s="353" t="s">
        <v>1</v>
      </c>
      <c r="C4" s="353"/>
      <c r="D4" s="353"/>
      <c r="E4" s="353"/>
      <c r="F4" s="353"/>
      <c r="G4" s="353"/>
      <c r="H4" s="353"/>
    </row>
    <row r="5" spans="2:8" x14ac:dyDescent="0.2">
      <c r="B5" s="353" t="s">
        <v>2</v>
      </c>
      <c r="C5" s="353"/>
      <c r="D5" s="353"/>
      <c r="E5" s="353"/>
      <c r="F5" s="353"/>
      <c r="G5" s="353"/>
      <c r="H5" s="353"/>
    </row>
    <row r="7" spans="2:8" x14ac:dyDescent="0.2">
      <c r="B7" s="353" t="s">
        <v>28</v>
      </c>
      <c r="C7" s="353"/>
      <c r="D7" s="353"/>
      <c r="E7" s="353"/>
      <c r="F7" s="353"/>
      <c r="G7" s="353"/>
      <c r="H7" s="353"/>
    </row>
    <row r="8" spans="2:8" x14ac:dyDescent="0.2">
      <c r="B8" s="353" t="s">
        <v>29</v>
      </c>
      <c r="C8" s="353"/>
      <c r="D8" s="353"/>
      <c r="E8" s="353"/>
      <c r="F8" s="353"/>
      <c r="G8" s="353"/>
      <c r="H8" s="353"/>
    </row>
    <row r="9" spans="2:8" x14ac:dyDescent="0.2">
      <c r="C9" s="1" t="s">
        <v>30</v>
      </c>
      <c r="E9" s="438" t="s">
        <v>210</v>
      </c>
      <c r="F9" s="438"/>
      <c r="G9" s="438"/>
    </row>
    <row r="12" spans="2:8" x14ac:dyDescent="0.2">
      <c r="B12" t="s">
        <v>41</v>
      </c>
      <c r="C12" s="438" t="str">
        <f>TI!DC6</f>
        <v xml:space="preserve">,  </v>
      </c>
      <c r="D12" s="438"/>
      <c r="E12" s="438"/>
      <c r="F12" s="438"/>
    </row>
    <row r="13" spans="2:8" x14ac:dyDescent="0.2">
      <c r="B13" t="s">
        <v>42</v>
      </c>
      <c r="C13" s="408">
        <f>TI!MG6</f>
        <v>0</v>
      </c>
      <c r="D13" s="408"/>
      <c r="E13" s="408"/>
      <c r="F13" s="408"/>
    </row>
    <row r="15" spans="2:8" x14ac:dyDescent="0.2">
      <c r="B15" s="87" t="s">
        <v>49</v>
      </c>
    </row>
    <row r="16" spans="2:8" ht="13.5" thickBot="1" x14ac:dyDescent="0.25">
      <c r="B16" s="44" t="s">
        <v>38</v>
      </c>
    </row>
    <row r="17" spans="2:8" x14ac:dyDescent="0.2">
      <c r="B17" s="45" t="s">
        <v>31</v>
      </c>
      <c r="C17" s="485" t="s">
        <v>36</v>
      </c>
      <c r="D17" s="486"/>
      <c r="E17" s="486"/>
      <c r="F17" s="486"/>
      <c r="G17" s="487"/>
      <c r="H17" s="46" t="s">
        <v>34</v>
      </c>
    </row>
    <row r="18" spans="2:8" ht="13.5" thickBot="1" x14ac:dyDescent="0.25">
      <c r="B18" s="35" t="s">
        <v>32</v>
      </c>
      <c r="C18" s="47">
        <v>1</v>
      </c>
      <c r="D18" s="48">
        <v>2</v>
      </c>
      <c r="E18" s="48">
        <v>3</v>
      </c>
      <c r="F18" s="48">
        <v>4</v>
      </c>
      <c r="G18" s="49">
        <v>5</v>
      </c>
      <c r="H18" s="50" t="s">
        <v>35</v>
      </c>
    </row>
    <row r="19" spans="2:8" x14ac:dyDescent="0.2">
      <c r="B19" s="51">
        <v>1</v>
      </c>
      <c r="C19" s="127">
        <f>COUNTIF(TI!$MG12:$MP12,"=1")</f>
        <v>0</v>
      </c>
      <c r="D19" s="126">
        <f>COUNTIF(TI!$MG12:$MP12,"=2")</f>
        <v>0</v>
      </c>
      <c r="E19" s="126">
        <f>COUNTIF(TI!$MG12:$MP12,"=3")</f>
        <v>0</v>
      </c>
      <c r="F19" s="126">
        <f>COUNTIF(TI!$MG12:$MP12,"=4")</f>
        <v>0</v>
      </c>
      <c r="G19" s="128">
        <f>COUNTIF(TI!$MG12:$MP12,"=5")</f>
        <v>0</v>
      </c>
      <c r="H19" s="62">
        <f t="array" ref="H19">IF(SUM(C19:G19)=0,,SUM((C19:G19)*($C$18:$G$18))/SUM(C19:G19))</f>
        <v>0</v>
      </c>
    </row>
    <row r="20" spans="2:8" x14ac:dyDescent="0.2">
      <c r="B20" s="51">
        <v>2</v>
      </c>
      <c r="C20" s="127">
        <f>COUNTIF(TI!$MG13:$MP13,"=1")</f>
        <v>0</v>
      </c>
      <c r="D20" s="126">
        <f>COUNTIF(TI!$MG13:$MP13,"=2")</f>
        <v>0</v>
      </c>
      <c r="E20" s="126">
        <f>COUNTIF(TI!$MG13:$MP13,"=3")</f>
        <v>0</v>
      </c>
      <c r="F20" s="126">
        <f>COUNTIF(TI!$MG13:$MP13,"=4")</f>
        <v>0</v>
      </c>
      <c r="G20" s="128">
        <f>COUNTIF(TI!$MG13:$MP13,"=5")</f>
        <v>0</v>
      </c>
      <c r="H20" s="62">
        <f t="array" ref="H20">IF(SUM(C20:G20)=0,,SUM((C20:G20)*($C$18:$G$18))/SUM(C20:G20))</f>
        <v>0</v>
      </c>
    </row>
    <row r="21" spans="2:8" x14ac:dyDescent="0.2">
      <c r="B21" s="51">
        <v>3</v>
      </c>
      <c r="C21" s="127">
        <f>COUNTIF(TI!$MG14:$MP14,"=1")</f>
        <v>0</v>
      </c>
      <c r="D21" s="126">
        <f>COUNTIF(TI!$MG14:$MP14,"=2")</f>
        <v>0</v>
      </c>
      <c r="E21" s="126">
        <f>COUNTIF(TI!$MG14:$MP14,"=3")</f>
        <v>0</v>
      </c>
      <c r="F21" s="126">
        <f>COUNTIF(TI!$MG14:$MP14,"=4")</f>
        <v>0</v>
      </c>
      <c r="G21" s="128">
        <f>COUNTIF(TI!$MG14:$MP14,"=5")</f>
        <v>0</v>
      </c>
      <c r="H21" s="62">
        <f t="array" ref="H21">IF(SUM(C21:G21)=0,,SUM((C21:G21)*($C$18:$G$18))/SUM(C21:G21))</f>
        <v>0</v>
      </c>
    </row>
    <row r="22" spans="2:8" x14ac:dyDescent="0.2">
      <c r="B22" s="52">
        <v>4</v>
      </c>
      <c r="C22" s="129">
        <f>COUNTIF(TI!$MG15:$MP15,"=1")</f>
        <v>0</v>
      </c>
      <c r="D22" s="130">
        <f>COUNTIF(TI!$MG15:$MP15,"=2")</f>
        <v>0</v>
      </c>
      <c r="E22" s="130">
        <f>COUNTIF(TI!$MG15:$MP15,"=3")</f>
        <v>0</v>
      </c>
      <c r="F22" s="130">
        <f>COUNTIF(TI!$MG15:$MP15,"=4")</f>
        <v>0</v>
      </c>
      <c r="G22" s="131">
        <f>COUNTIF(TI!$MG15:$MP15,"=5")</f>
        <v>0</v>
      </c>
      <c r="H22" s="63">
        <f t="array" ref="H22">IF(SUM(C22:G22)=0,,SUM((C22:G22)*($C$18:$G$18))/SUM(C22:G22))</f>
        <v>0</v>
      </c>
    </row>
    <row r="23" spans="2:8" ht="13.5" thickBot="1" x14ac:dyDescent="0.25">
      <c r="B23" s="52">
        <v>5</v>
      </c>
      <c r="C23" s="129">
        <f>COUNTIF(TI!$MG16:$MP16,"=1")</f>
        <v>0</v>
      </c>
      <c r="D23" s="130">
        <f>COUNTIF(TI!$MG16:$MP16,"=2")</f>
        <v>0</v>
      </c>
      <c r="E23" s="130">
        <f>COUNTIF(TI!$MG16:$MP16,"=3")</f>
        <v>0</v>
      </c>
      <c r="F23" s="130">
        <f>COUNTIF(TI!$MG16:$MP16,"=4")</f>
        <v>0</v>
      </c>
      <c r="G23" s="131">
        <f>COUNTIF(TI!$MG16:$MP16,"=5")</f>
        <v>0</v>
      </c>
      <c r="H23" s="63">
        <f t="array" ref="H23">IF(SUM(C23:G23)=0,,SUM((C23:G23)*($C$18:$G$18))/SUM(C23:G23))</f>
        <v>0</v>
      </c>
    </row>
    <row r="24" spans="2:8" ht="13.5" thickBot="1" x14ac:dyDescent="0.25">
      <c r="B24" s="57" t="s">
        <v>33</v>
      </c>
      <c r="C24" s="59">
        <f>SUM(C19:C23)*C$18</f>
        <v>0</v>
      </c>
      <c r="D24" s="60">
        <f>SUM(D19:D23)*D$18</f>
        <v>0</v>
      </c>
      <c r="E24" s="60">
        <f>SUM(E19:E23)*E$18</f>
        <v>0</v>
      </c>
      <c r="F24" s="60">
        <f>SUM(F19:F23)*F$18</f>
        <v>0</v>
      </c>
      <c r="G24" s="61">
        <f>SUM(G19:G23)*G$18</f>
        <v>0</v>
      </c>
      <c r="H24" s="65">
        <f>SUM(H19:H23)*4</f>
        <v>0</v>
      </c>
    </row>
    <row r="26" spans="2:8" ht="13.5" thickBot="1" x14ac:dyDescent="0.25">
      <c r="B26" t="s">
        <v>37</v>
      </c>
    </row>
    <row r="27" spans="2:8" x14ac:dyDescent="0.2">
      <c r="B27" s="58">
        <v>1</v>
      </c>
      <c r="C27" s="134">
        <f>COUNTIF(TI!$MG18:$MP18,"=1")</f>
        <v>0</v>
      </c>
      <c r="D27" s="133">
        <f>COUNTIF(TI!$MG18:$MP18,"=2")</f>
        <v>0</v>
      </c>
      <c r="E27" s="133">
        <f>COUNTIF(TI!$MG18:$MP18,"=3")</f>
        <v>0</v>
      </c>
      <c r="F27" s="133">
        <f>COUNTIF(TI!$MG18:$MP18,"=4")</f>
        <v>0</v>
      </c>
      <c r="G27" s="132">
        <f>COUNTIF(TI!$MG18:$MP18,"=5")</f>
        <v>0</v>
      </c>
      <c r="H27" s="66">
        <f t="array" ref="H27">IF(SUM(C27:G27)=0,,SUM((C27:G27)*($C$18:$G$18))/SUM(C27:G27))</f>
        <v>0</v>
      </c>
    </row>
    <row r="28" spans="2:8" x14ac:dyDescent="0.2">
      <c r="B28" s="51">
        <v>2</v>
      </c>
      <c r="C28" s="127">
        <f>COUNTIF(TI!$MG19:$MP19,"=1")</f>
        <v>0</v>
      </c>
      <c r="D28" s="126">
        <f>COUNTIF(TI!$MG19:$MP19,"=2")</f>
        <v>0</v>
      </c>
      <c r="E28" s="126">
        <f>COUNTIF(TI!$MG19:$MP19,"=3")</f>
        <v>0</v>
      </c>
      <c r="F28" s="126">
        <f>COUNTIF(TI!$MG19:$MP19,"=4")</f>
        <v>0</v>
      </c>
      <c r="G28" s="128">
        <f>COUNTIF(TI!$MG19:$MP19,"=5")</f>
        <v>0</v>
      </c>
      <c r="H28" s="62">
        <f t="array" ref="H28">IF(SUM(C28:G28)=0,,SUM((C28:G28)*($C$18:$G$18))/SUM(C28:G28))</f>
        <v>0</v>
      </c>
    </row>
    <row r="29" spans="2:8" x14ac:dyDescent="0.2">
      <c r="B29" s="51">
        <v>3</v>
      </c>
      <c r="C29" s="127">
        <f>COUNTIF(TI!$MG20:$MP20,"=1")</f>
        <v>0</v>
      </c>
      <c r="D29" s="126">
        <f>COUNTIF(TI!$MG20:$MP20,"=2")</f>
        <v>0</v>
      </c>
      <c r="E29" s="126">
        <f>COUNTIF(TI!$MG20:$MP20,"=3")</f>
        <v>0</v>
      </c>
      <c r="F29" s="126">
        <f>COUNTIF(TI!$MG20:$MP20,"=4")</f>
        <v>0</v>
      </c>
      <c r="G29" s="128">
        <f>COUNTIF(TI!$MG20:$MP20,"=5")</f>
        <v>0</v>
      </c>
      <c r="H29" s="62">
        <f t="array" ref="H29">IF(SUM(C29:G29)=0,,SUM((C29:G29)*($C$18:$G$18))/SUM(C29:G29))</f>
        <v>0</v>
      </c>
    </row>
    <row r="30" spans="2:8" x14ac:dyDescent="0.2">
      <c r="B30" s="52">
        <v>4</v>
      </c>
      <c r="C30" s="53">
        <f>COUNTIF(TI!$MG21:$MP21,"=1")</f>
        <v>0</v>
      </c>
      <c r="D30" s="54">
        <f>COUNTIF(TI!$MG21:$MP21,"=2")</f>
        <v>0</v>
      </c>
      <c r="E30" s="54">
        <f>COUNTIF(TI!$MG21:$MP21,"=3")</f>
        <v>0</v>
      </c>
      <c r="F30" s="54">
        <f>COUNTIF(TI!$MG21:$MP21,"=4")</f>
        <v>0</v>
      </c>
      <c r="G30" s="55">
        <f>COUNTIF(TI!$MG21:$MP21,"=5")</f>
        <v>0</v>
      </c>
      <c r="H30" s="63">
        <f t="array" ref="H30">IF(SUM(C30:G30)=0,,SUM((C30:G30)*($C$18:$G$18))/SUM(C30:G30))</f>
        <v>0</v>
      </c>
    </row>
    <row r="31" spans="2:8" ht="13.5" thickBot="1" x14ac:dyDescent="0.25">
      <c r="B31" s="52">
        <v>5</v>
      </c>
      <c r="C31" s="53">
        <f>COUNTIF(TI!$MG22:$MP22,"=1")</f>
        <v>0</v>
      </c>
      <c r="D31" s="54">
        <f>COUNTIF(TI!$MG22:$MP22,"=2")</f>
        <v>0</v>
      </c>
      <c r="E31" s="54">
        <f>COUNTIF(TI!$MG22:$MP22,"=3")</f>
        <v>0</v>
      </c>
      <c r="F31" s="54">
        <f>COUNTIF(TI!$MG22:$MP22,"=4")</f>
        <v>0</v>
      </c>
      <c r="G31" s="55">
        <f>COUNTIF(TI!$MG22:$MP22,"=5")</f>
        <v>0</v>
      </c>
      <c r="H31" s="63">
        <f t="array" ref="H31">IF(SUM(C31:G31)=0,,SUM((C31:G31)*($C$18:$G$18))/SUM(C31:G31))</f>
        <v>0</v>
      </c>
    </row>
    <row r="32" spans="2:8" ht="13.5" thickBot="1" x14ac:dyDescent="0.25">
      <c r="B32" s="57" t="s">
        <v>33</v>
      </c>
      <c r="C32" s="59">
        <f>SUM(C27:C31)*C$18</f>
        <v>0</v>
      </c>
      <c r="D32" s="60">
        <f>SUM(D27:D31)*D$18</f>
        <v>0</v>
      </c>
      <c r="E32" s="60">
        <f>SUM(E27:E31)*E$18</f>
        <v>0</v>
      </c>
      <c r="F32" s="60">
        <f>SUM(F27:F31)*F$18</f>
        <v>0</v>
      </c>
      <c r="G32" s="61">
        <f>SUM(G27:G31)*G$18</f>
        <v>0</v>
      </c>
      <c r="H32" s="65">
        <f>SUM(H27:H31)*4</f>
        <v>0</v>
      </c>
    </row>
    <row r="34" spans="2:8" ht="13.5" thickBot="1" x14ac:dyDescent="0.25">
      <c r="B34" t="s">
        <v>39</v>
      </c>
    </row>
    <row r="35" spans="2:8" x14ac:dyDescent="0.2">
      <c r="B35" s="58">
        <v>1</v>
      </c>
      <c r="C35" s="134">
        <f>COUNTIF(TI!$MG24:$MP24,"=1")</f>
        <v>0</v>
      </c>
      <c r="D35" s="133">
        <f>COUNTIF(TI!$MG24:$MP24,"=2")</f>
        <v>0</v>
      </c>
      <c r="E35" s="133">
        <f>COUNTIF(TI!$MG24:$MP24,"=3")</f>
        <v>0</v>
      </c>
      <c r="F35" s="133">
        <f>COUNTIF(TI!$MG24:$MP24,"=4")</f>
        <v>0</v>
      </c>
      <c r="G35" s="132">
        <f>COUNTIF(TI!$MG24:$MP24,"=5")</f>
        <v>0</v>
      </c>
      <c r="H35" s="66">
        <f t="array" ref="H35">IF(SUM(C35:G35)=0,,SUM((C35:G35)*($C$18:$G$18))/SUM(C35:G35))</f>
        <v>0</v>
      </c>
    </row>
    <row r="36" spans="2:8" x14ac:dyDescent="0.2">
      <c r="B36" s="52">
        <v>2</v>
      </c>
      <c r="C36" s="53">
        <f>COUNTIF(TI!$MG25:$MP25,"=1")</f>
        <v>0</v>
      </c>
      <c r="D36" s="54">
        <f>COUNTIF(TI!$MG25:$MP25,"=2")</f>
        <v>0</v>
      </c>
      <c r="E36" s="54">
        <f>COUNTIF(TI!$MG25:$MP25,"=3")</f>
        <v>0</v>
      </c>
      <c r="F36" s="54">
        <f>COUNTIF(TI!$MG25:$MP25,"=4")</f>
        <v>0</v>
      </c>
      <c r="G36" s="55">
        <f>COUNTIF(TI!$MG25:$MP25,"=5")</f>
        <v>0</v>
      </c>
      <c r="H36" s="63">
        <f t="array" ref="H36">IF(SUM(C36:G36)=0,,SUM((C36:G36)*($C$18:$G$18))/SUM(C36:G36))</f>
        <v>0</v>
      </c>
    </row>
    <row r="37" spans="2:8" x14ac:dyDescent="0.2">
      <c r="B37" s="52">
        <v>3</v>
      </c>
      <c r="C37" s="53">
        <f>COUNTIF(TI!$MG26:$MP26,"=1")</f>
        <v>0</v>
      </c>
      <c r="D37" s="54">
        <f>COUNTIF(TI!$MG26:$MP26,"=2")</f>
        <v>0</v>
      </c>
      <c r="E37" s="54">
        <f>COUNTIF(TI!$MG26:$MP26,"=3")</f>
        <v>0</v>
      </c>
      <c r="F37" s="54">
        <f>COUNTIF(TI!$MG26:$MP26,"=4")</f>
        <v>0</v>
      </c>
      <c r="G37" s="55">
        <f>COUNTIF(TI!$MG26:$MP26,"=5")</f>
        <v>0</v>
      </c>
      <c r="H37" s="63">
        <f t="array" ref="H37">IF(SUM(C37:G37)=0,,SUM((C37:G37)*($C$18:$G$18))/SUM(C37:G37))</f>
        <v>0</v>
      </c>
    </row>
    <row r="38" spans="2:8" x14ac:dyDescent="0.2">
      <c r="B38" s="52">
        <v>4</v>
      </c>
      <c r="C38" s="53">
        <f>COUNTIF(TI!$MG27:$MP27,"=1")</f>
        <v>0</v>
      </c>
      <c r="D38" s="54">
        <f>COUNTIF(TI!$MG27:$MP27,"=2")</f>
        <v>0</v>
      </c>
      <c r="E38" s="54">
        <f>COUNTIF(TI!$MG27:$MP27,"=3")</f>
        <v>0</v>
      </c>
      <c r="F38" s="54">
        <f>COUNTIF(TI!$MG27:$MP27,"=4")</f>
        <v>0</v>
      </c>
      <c r="G38" s="55">
        <f>COUNTIF(TI!$MG27:$MP27,"=5")</f>
        <v>0</v>
      </c>
      <c r="H38" s="63">
        <f t="array" ref="H38">IF(SUM(C38:G38)=0,,SUM((C38:G38)*($C$18:$G$18))/SUM(C38:G38))</f>
        <v>0</v>
      </c>
    </row>
    <row r="39" spans="2:8" ht="13.5" thickBot="1" x14ac:dyDescent="0.25">
      <c r="B39" s="52">
        <v>5</v>
      </c>
      <c r="C39" s="53">
        <f>COUNTIF(TI!$MG28:$MP28,"=1")</f>
        <v>0</v>
      </c>
      <c r="D39" s="54">
        <f>COUNTIF(TI!$MG28:$MP28,"=2")</f>
        <v>0</v>
      </c>
      <c r="E39" s="54">
        <f>COUNTIF(TI!$MG28:$MP28,"=3")</f>
        <v>0</v>
      </c>
      <c r="F39" s="54">
        <f>COUNTIF(TI!$MG28:$MP28,"=4")</f>
        <v>0</v>
      </c>
      <c r="G39" s="55">
        <f>COUNTIF(TI!$MG28:$MP28,"=5")</f>
        <v>0</v>
      </c>
      <c r="H39" s="63">
        <f t="array" ref="H39">IF(SUM(C39:G39)=0,,SUM((C39:G39)*($C$18:$G$18))/SUM(C39:G39))</f>
        <v>0</v>
      </c>
    </row>
    <row r="40" spans="2:8" ht="13.5" thickBot="1" x14ac:dyDescent="0.25">
      <c r="B40" s="57" t="s">
        <v>33</v>
      </c>
      <c r="C40" s="59">
        <f>SUM(C35:C39)*C$18</f>
        <v>0</v>
      </c>
      <c r="D40" s="60">
        <f>SUM(D35:D39)*D$18</f>
        <v>0</v>
      </c>
      <c r="E40" s="60">
        <f>SUM(E35:E39)*E$18</f>
        <v>0</v>
      </c>
      <c r="F40" s="60">
        <f>SUM(F35:F39)*F$18</f>
        <v>0</v>
      </c>
      <c r="G40" s="61">
        <f>SUM(G35:G39)*G$18</f>
        <v>0</v>
      </c>
      <c r="H40" s="65">
        <f>SUM(H35:H39)*4</f>
        <v>0</v>
      </c>
    </row>
    <row r="42" spans="2:8" ht="13.5" thickBot="1" x14ac:dyDescent="0.25">
      <c r="B42" t="s">
        <v>40</v>
      </c>
    </row>
    <row r="43" spans="2:8" x14ac:dyDescent="0.2">
      <c r="B43" s="58">
        <v>1</v>
      </c>
      <c r="C43" s="134">
        <f>COUNTIF(TI!$MG30:$MP30,"=1")</f>
        <v>0</v>
      </c>
      <c r="D43" s="133">
        <f>COUNTIF(TI!$MG30:$MP30,"=2")</f>
        <v>0</v>
      </c>
      <c r="E43" s="133">
        <f>COUNTIF(TI!$MG30:$MP30,"=3")</f>
        <v>0</v>
      </c>
      <c r="F43" s="133">
        <f>COUNTIF(TI!$MG30:$MP30,"=4")</f>
        <v>0</v>
      </c>
      <c r="G43" s="132">
        <f>COUNTIF(TI!$MG30:$MP30,"=5")</f>
        <v>0</v>
      </c>
      <c r="H43" s="66">
        <f t="array" ref="H43">IF(SUM(C43:G43)=0,,SUM((C43:G43)*($C$18:$G$18))/SUM(C43:G43))</f>
        <v>0</v>
      </c>
    </row>
    <row r="44" spans="2:8" x14ac:dyDescent="0.2">
      <c r="B44" s="52">
        <v>2</v>
      </c>
      <c r="C44" s="53">
        <f>COUNTIF(TI!$MG31:$MP31,"=1")</f>
        <v>0</v>
      </c>
      <c r="D44" s="54">
        <f>COUNTIF(TI!$MG31:$MP31,"=2")</f>
        <v>0</v>
      </c>
      <c r="E44" s="54">
        <f>COUNTIF(TI!$MG31:$MP31,"=3")</f>
        <v>0</v>
      </c>
      <c r="F44" s="54">
        <f>COUNTIF(TI!$MG31:$MP31,"=4")</f>
        <v>0</v>
      </c>
      <c r="G44" s="55">
        <f>COUNTIF(TI!$MG31:$MP31,"=5")</f>
        <v>0</v>
      </c>
      <c r="H44" s="63">
        <f t="array" ref="H44">IF(SUM(C44:G44)=0,,SUM((C44:G44)*($C$18:$G$18))/SUM(C44:G44))</f>
        <v>0</v>
      </c>
    </row>
    <row r="45" spans="2:8" x14ac:dyDescent="0.2">
      <c r="B45" s="52">
        <v>3</v>
      </c>
      <c r="C45" s="53">
        <f>COUNTIF(TI!$MG32:$MP32,"=1")</f>
        <v>0</v>
      </c>
      <c r="D45" s="54">
        <f>COUNTIF(TI!$MG32:$MP32,"=2")</f>
        <v>0</v>
      </c>
      <c r="E45" s="54">
        <f>COUNTIF(TI!$MG32:$MP32,"=3")</f>
        <v>0</v>
      </c>
      <c r="F45" s="54">
        <f>COUNTIF(TI!$MG32:$MP32,"=4")</f>
        <v>0</v>
      </c>
      <c r="G45" s="55">
        <f>COUNTIF(TI!$MG32:$MP32,"=5")</f>
        <v>0</v>
      </c>
      <c r="H45" s="63">
        <f t="array" ref="H45">IF(SUM(C45:G45)=0,,SUM((C45:G45)*($C$18:$G$18))/SUM(C45:G45))</f>
        <v>0</v>
      </c>
    </row>
    <row r="46" spans="2:8" x14ac:dyDescent="0.2">
      <c r="B46" s="52">
        <v>4</v>
      </c>
      <c r="C46" s="53">
        <f>COUNTIF(TI!$MG33:$MP33,"=1")</f>
        <v>0</v>
      </c>
      <c r="D46" s="54">
        <f>COUNTIF(TI!$MG33:$MP33,"=2")</f>
        <v>0</v>
      </c>
      <c r="E46" s="54">
        <f>COUNTIF(TI!$MG33:$MP33,"=3")</f>
        <v>0</v>
      </c>
      <c r="F46" s="54">
        <f>COUNTIF(TI!$MG33:$MP33,"=4")</f>
        <v>0</v>
      </c>
      <c r="G46" s="55">
        <f>COUNTIF(TI!$MG33:$MP33,"=5")</f>
        <v>0</v>
      </c>
      <c r="H46" s="63">
        <f t="array" ref="H46">IF(SUM(C46:G46)=0,,SUM((C46:G46)*($C$18:$G$18))/SUM(C46:G46))</f>
        <v>0</v>
      </c>
    </row>
    <row r="47" spans="2:8" ht="13.5" thickBot="1" x14ac:dyDescent="0.25">
      <c r="B47" s="52">
        <v>5</v>
      </c>
      <c r="C47" s="53">
        <f>COUNTIF(TI!$MG34:$MP34,"=1")</f>
        <v>0</v>
      </c>
      <c r="D47" s="54">
        <f>COUNTIF(TI!$MG34:$MP34,"=2")</f>
        <v>0</v>
      </c>
      <c r="E47" s="54">
        <f>COUNTIF(TI!$MG34:$MP34,"=3")</f>
        <v>0</v>
      </c>
      <c r="F47" s="54">
        <f>COUNTIF(TI!$MG34:$MP34,"=4")</f>
        <v>0</v>
      </c>
      <c r="G47" s="55">
        <f>COUNTIF(TI!$MG34:$MP34,"=5")</f>
        <v>0</v>
      </c>
      <c r="H47" s="63">
        <f t="array" ref="H47">IF(SUM(C47:G47)=0,,SUM((C47:G47)*($C$18:$G$18))/SUM(C47:G47))</f>
        <v>0</v>
      </c>
    </row>
    <row r="48" spans="2:8" ht="13.5" thickBot="1" x14ac:dyDescent="0.25">
      <c r="B48" s="57" t="s">
        <v>33</v>
      </c>
      <c r="C48" s="59">
        <f>SUM(C43:C47)*C$18</f>
        <v>0</v>
      </c>
      <c r="D48" s="60">
        <f>SUM(D43:D47)*D$18</f>
        <v>0</v>
      </c>
      <c r="E48" s="60">
        <f>SUM(E43:E47)*E$18</f>
        <v>0</v>
      </c>
      <c r="F48" s="60">
        <f>SUM(F43:F47)*F$18</f>
        <v>0</v>
      </c>
      <c r="G48" s="61">
        <f>SUM(G43:G47)*G$18</f>
        <v>0</v>
      </c>
      <c r="H48" s="65">
        <f>SUM(H43:H47)*4</f>
        <v>0</v>
      </c>
    </row>
    <row r="54" spans="6:8" x14ac:dyDescent="0.2">
      <c r="F54" s="438" t="str">
        <f>TI!DZ75</f>
        <v>DANIEL E. MALIGAT, JR., DIT</v>
      </c>
      <c r="G54" s="438"/>
      <c r="H54" s="438"/>
    </row>
    <row r="55" spans="6:8" x14ac:dyDescent="0.2">
      <c r="F55" s="453" t="str">
        <f>TI!DZ76</f>
        <v>DEAN</v>
      </c>
      <c r="G55" s="453"/>
      <c r="H55" s="453"/>
    </row>
  </sheetData>
  <sheetProtection password="C959" sheet="1" objects="1" scenarios="1"/>
  <mergeCells count="10">
    <mergeCell ref="F54:H54"/>
    <mergeCell ref="F55:H55"/>
    <mergeCell ref="C17:G17"/>
    <mergeCell ref="B4:H4"/>
    <mergeCell ref="B5:H5"/>
    <mergeCell ref="B7:H7"/>
    <mergeCell ref="B8:H8"/>
    <mergeCell ref="E9:G9"/>
    <mergeCell ref="C12:F12"/>
    <mergeCell ref="C13:F13"/>
  </mergeCells>
  <phoneticPr fontId="4" type="noConversion"/>
  <printOptions horizontalCentered="1"/>
  <pageMargins left="0.75" right="0.5" top="0.75" bottom="1" header="0.5" footer="0.5"/>
  <pageSetup paperSize="291" orientation="portrait" blackAndWhite="1" horizontalDpi="4294967295" verticalDpi="7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B1:H55"/>
  <sheetViews>
    <sheetView showZeros="0" topLeftCell="A11" zoomScaleNormal="100" workbookViewId="0">
      <selection activeCell="P29" sqref="P29"/>
    </sheetView>
  </sheetViews>
  <sheetFormatPr defaultRowHeight="12.75" x14ac:dyDescent="0.2"/>
  <cols>
    <col min="1" max="1" width="1.85546875" customWidth="1"/>
    <col min="2" max="2" width="20.140625" customWidth="1"/>
    <col min="8" max="8" width="10.140625" bestFit="1" customWidth="1"/>
  </cols>
  <sheetData>
    <row r="1" spans="2:8" x14ac:dyDescent="0.2">
      <c r="B1" t="s">
        <v>74</v>
      </c>
    </row>
    <row r="4" spans="2:8" x14ac:dyDescent="0.2">
      <c r="B4" s="353" t="s">
        <v>1</v>
      </c>
      <c r="C4" s="353"/>
      <c r="D4" s="353"/>
      <c r="E4" s="353"/>
      <c r="F4" s="353"/>
      <c r="G4" s="353"/>
      <c r="H4" s="353"/>
    </row>
    <row r="5" spans="2:8" x14ac:dyDescent="0.2">
      <c r="B5" s="353" t="s">
        <v>2</v>
      </c>
      <c r="C5" s="353"/>
      <c r="D5" s="353"/>
      <c r="E5" s="353"/>
      <c r="F5" s="353"/>
      <c r="G5" s="353"/>
      <c r="H5" s="353"/>
    </row>
    <row r="7" spans="2:8" x14ac:dyDescent="0.2">
      <c r="B7" s="353" t="s">
        <v>28</v>
      </c>
      <c r="C7" s="353"/>
      <c r="D7" s="353"/>
      <c r="E7" s="353"/>
      <c r="F7" s="353"/>
      <c r="G7" s="353"/>
      <c r="H7" s="353"/>
    </row>
    <row r="8" spans="2:8" x14ac:dyDescent="0.2">
      <c r="B8" s="353" t="s">
        <v>75</v>
      </c>
      <c r="C8" s="353"/>
      <c r="D8" s="353"/>
      <c r="E8" s="353"/>
      <c r="F8" s="353"/>
      <c r="G8" s="353"/>
      <c r="H8" s="353"/>
    </row>
    <row r="9" spans="2:8" x14ac:dyDescent="0.2">
      <c r="C9" s="1" t="s">
        <v>30</v>
      </c>
      <c r="E9" s="454"/>
      <c r="F9" s="454"/>
      <c r="G9" s="454"/>
    </row>
    <row r="12" spans="2:8" x14ac:dyDescent="0.2">
      <c r="B12" t="s">
        <v>41</v>
      </c>
      <c r="C12" s="438" t="str">
        <f>TI!DC6</f>
        <v xml:space="preserve">,  </v>
      </c>
      <c r="D12" s="438"/>
      <c r="E12" s="438"/>
      <c r="F12" s="438"/>
    </row>
    <row r="13" spans="2:8" x14ac:dyDescent="0.2">
      <c r="B13" t="s">
        <v>42</v>
      </c>
      <c r="C13" s="408">
        <f>TI!MG6</f>
        <v>0</v>
      </c>
      <c r="D13" s="408"/>
      <c r="E13" s="408"/>
      <c r="F13" s="408"/>
    </row>
    <row r="15" spans="2:8" x14ac:dyDescent="0.2">
      <c r="B15" s="87" t="s">
        <v>60</v>
      </c>
    </row>
    <row r="16" spans="2:8" ht="13.5" thickBot="1" x14ac:dyDescent="0.25">
      <c r="B16" s="44" t="s">
        <v>76</v>
      </c>
      <c r="D16" s="186">
        <f>TR!J9</f>
        <v>0.2</v>
      </c>
    </row>
    <row r="17" spans="2:8" x14ac:dyDescent="0.2">
      <c r="B17" s="45" t="s">
        <v>31</v>
      </c>
      <c r="C17" s="485" t="s">
        <v>36</v>
      </c>
      <c r="D17" s="486"/>
      <c r="E17" s="486"/>
      <c r="F17" s="486"/>
      <c r="G17" s="487"/>
      <c r="H17" s="46" t="s">
        <v>34</v>
      </c>
    </row>
    <row r="18" spans="2:8" ht="13.5" thickBot="1" x14ac:dyDescent="0.25">
      <c r="B18" s="35" t="s">
        <v>32</v>
      </c>
      <c r="C18" s="47">
        <v>1</v>
      </c>
      <c r="D18" s="48">
        <v>2</v>
      </c>
      <c r="E18" s="48">
        <v>3</v>
      </c>
      <c r="F18" s="48">
        <v>4</v>
      </c>
      <c r="G18" s="49">
        <v>5</v>
      </c>
      <c r="H18" s="50" t="s">
        <v>35</v>
      </c>
    </row>
    <row r="19" spans="2:8" x14ac:dyDescent="0.2">
      <c r="B19" s="51">
        <v>1</v>
      </c>
      <c r="C19" s="187">
        <f>COUNTIF(TR!$E12:$BB12,"=1")+COUNTIF(TR!$E19:$BB19,"=1")+COUNTIF(TR!$E26:$BB26,"=1")+COUNTIF(TR!$E33:$BB33,"=1")</f>
        <v>0</v>
      </c>
      <c r="D19" s="188">
        <f>COUNTIF(TR!$E12:$BB12,"=2")+COUNTIF(TR!$E19:$BB19,"=2")+COUNTIF(TR!$E26:$BB26,"=2")+COUNTIF(TR!$E33:$BB33,"=2")</f>
        <v>0</v>
      </c>
      <c r="E19" s="188">
        <f>COUNTIF(TR!$E12:$BB12,"=3")+COUNTIF(TR!$E19:$BB19,"=3")+COUNTIF(TR!$E26:$BB26,"=3")+COUNTIF(TR!$E33:$BB33,"=3")</f>
        <v>0</v>
      </c>
      <c r="F19" s="188">
        <f>COUNTIF(TR!$E12:$BB12,"=4")+COUNTIF(TR!$E19:$BB19,"=4")+COUNTIF(TR!$E26:$BB26,"=4")+COUNTIF(TR!$E33:$BB33,"=4")</f>
        <v>0</v>
      </c>
      <c r="G19" s="189">
        <f>COUNTIF(TR!$E12:$BB12,"=5")+COUNTIF(TR!$E19:$BB19,"=5")+COUNTIF(TR!$E26:$BB26,"=5")+COUNTIF(TR!$E33:$BB33,"=5")</f>
        <v>0</v>
      </c>
      <c r="H19" s="62">
        <f t="array" ref="H19">IF(SUM(C19:G19)=0,,SUM((C19:G19)*($C$18:$G$18))/SUM(C19:G19))</f>
        <v>0</v>
      </c>
    </row>
    <row r="20" spans="2:8" x14ac:dyDescent="0.2">
      <c r="B20" s="52">
        <v>2</v>
      </c>
      <c r="C20" s="53">
        <f>COUNTIF(TR!$E13:$BB13,"=1")+COUNTIF(TR!$E20:$BB20,"=1")+COUNTIF(TR!$E27:$BB27,"=1")+COUNTIF(TR!$E34:$BB34,"=1")</f>
        <v>0</v>
      </c>
      <c r="D20" s="54">
        <f>COUNTIF(TR!$E13:$BB13,"=2")+COUNTIF(TR!$E20:$BB20,"=2")+COUNTIF(TR!$E27:$BB27,"=2")+COUNTIF(TR!$E34:$BB34,"=2")</f>
        <v>0</v>
      </c>
      <c r="E20" s="54">
        <f>COUNTIF(TR!$E13:$BB13,"=3")+COUNTIF(TR!$E20:$BB20,"=3")+COUNTIF(TR!$E27:$BB27,"=3")+COUNTIF(TR!$E34:$BB34,"=3")</f>
        <v>0</v>
      </c>
      <c r="F20" s="54">
        <f>COUNTIF(TR!$E13:$BB13,"=4")+COUNTIF(TR!$E20:$BB20,"=4")+COUNTIF(TR!$E27:$BB27,"=4")+COUNTIF(TR!$E34:$BB34,"=4")</f>
        <v>0</v>
      </c>
      <c r="G20" s="55">
        <f>COUNTIF(TR!$E13:$BB13,"=5")+COUNTIF(TR!$E20:$BB20,"=5")+COUNTIF(TR!$E27:$BB27,"=5")+COUNTIF(TR!$E34:$BB34,"=5")</f>
        <v>0</v>
      </c>
      <c r="H20" s="63">
        <f t="array" ref="H20">IF(SUM(C20:G20)=0,,SUM((C20:G20)*($C$18:$G$18))/SUM(C20:G20))</f>
        <v>0</v>
      </c>
    </row>
    <row r="21" spans="2:8" x14ac:dyDescent="0.2">
      <c r="B21" s="52">
        <v>3</v>
      </c>
      <c r="C21" s="53">
        <f>COUNTIF(TR!$E14:$BB14,"=1")+COUNTIF(TR!$E21:$BB21,"=1")+COUNTIF(TR!$E28:$BB28,"=1")+COUNTIF(TR!$E35:$BB35,"=1")</f>
        <v>0</v>
      </c>
      <c r="D21" s="54">
        <f>COUNTIF(TR!$E14:$BB14,"=2")+COUNTIF(TR!$E21:$BB21,"=2")+COUNTIF(TR!$E28:$BB28,"=2")+COUNTIF(TR!$E35:$BB35,"=2")</f>
        <v>0</v>
      </c>
      <c r="E21" s="54">
        <f>COUNTIF(TR!$E14:$BB14,"=3")+COUNTIF(TR!$E21:$BB21,"=3")+COUNTIF(TR!$E28:$BB28,"=3")+COUNTIF(TR!$E35:$BB35,"=3")</f>
        <v>0</v>
      </c>
      <c r="F21" s="54">
        <f>COUNTIF(TR!$E14:$BB14,"=4")+COUNTIF(TR!$E21:$BB21,"=4")+COUNTIF(TR!$E28:$BB28,"=4")+COUNTIF(TR!$E35:$BB35,"=4")</f>
        <v>0</v>
      </c>
      <c r="G21" s="55">
        <f>COUNTIF(TR!$E14:$BB14,"=5")+COUNTIF(TR!$E21:$BB21,"=5")+COUNTIF(TR!$E28:$BB28,"=5")+COUNTIF(TR!$E35:$BB35,"=5")</f>
        <v>0</v>
      </c>
      <c r="H21" s="63">
        <f t="array" ref="H21">IF(SUM(C21:G21)=0,,SUM((C21:G21)*($C$18:$G$18))/SUM(C21:G21))</f>
        <v>0</v>
      </c>
    </row>
    <row r="22" spans="2:8" x14ac:dyDescent="0.2">
      <c r="B22" s="52">
        <v>4</v>
      </c>
      <c r="C22" s="53">
        <f>COUNTIF(TR!$E15:$BB15,"=1")+COUNTIF(TR!$E22:$BB22,"=1")+COUNTIF(TR!$E29:$BB29,"=1")+COUNTIF(TR!$E36:$BB36,"=1")</f>
        <v>0</v>
      </c>
      <c r="D22" s="54">
        <f>COUNTIF(TR!$E15:$BB15,"=2")+COUNTIF(TR!$E22:$BB22,"=2")+COUNTIF(TR!$E29:$BB29,"=2")+COUNTIF(TR!$E36:$BB36,"=2")</f>
        <v>0</v>
      </c>
      <c r="E22" s="54">
        <f>COUNTIF(TR!$E15:$BB15,"=3")+COUNTIF(TR!$E22:$BB22,"=3")+COUNTIF(TR!$E29:$BB29,"=3")+COUNTIF(TR!$E36:$BB36,"=3")</f>
        <v>0</v>
      </c>
      <c r="F22" s="54">
        <f>COUNTIF(TR!$E15:$BB15,"=4")+COUNTIF(TR!$E22:$BB22,"=4")+COUNTIF(TR!$E29:$BB29,"=4")+COUNTIF(TR!$E36:$BB36,"=4")</f>
        <v>0</v>
      </c>
      <c r="G22" s="55">
        <f>COUNTIF(TR!$E15:$BB15,"=5")+COUNTIF(TR!$E22:$BB22,"=5")+COUNTIF(TR!$E29:$BB29,"=5")+COUNTIF(TR!$E36:$BB36,"=5")</f>
        <v>0</v>
      </c>
      <c r="H22" s="63">
        <f t="array" ref="H22">IF(SUM(C22:G22)=0,,SUM((C22:G22)*($C$18:$G$18))/SUM(C22:G22))</f>
        <v>0</v>
      </c>
    </row>
    <row r="23" spans="2:8" ht="13.5" thickBot="1" x14ac:dyDescent="0.25">
      <c r="B23" s="56">
        <v>5</v>
      </c>
      <c r="C23" s="190">
        <f>COUNTIF(TR!$E16:$BB16,"=1")+COUNTIF(TR!$E23:$BB23,"=1")+COUNTIF(TR!$E30:$BB30,"=1")+COUNTIF(TR!$E37:$BB37,"=1")</f>
        <v>0</v>
      </c>
      <c r="D23" s="13">
        <f>COUNTIF(TR!$E16:$BB16,"=2")+COUNTIF(TR!$E23:$BB23,"=2")+COUNTIF(TR!$E30:$BB30,"=2")+COUNTIF(TR!$E37:$BB37,"=2")</f>
        <v>0</v>
      </c>
      <c r="E23" s="13">
        <f>COUNTIF(TR!$E16:$BB16,"=3")+COUNTIF(TR!$E23:$BB23,"=3")+COUNTIF(TR!$E30:$BB30,"=3")+COUNTIF(TR!$E37:$BB37,"=3")</f>
        <v>0</v>
      </c>
      <c r="F23" s="13">
        <f>COUNTIF(TR!$E16:$BB16,"=4")+COUNTIF(TR!$E23:$BB23,"=4")+COUNTIF(TR!$E30:$BB30,"=4")+COUNTIF(TR!$E37:$BB37,"=4")</f>
        <v>0</v>
      </c>
      <c r="G23" s="191">
        <f>COUNTIF(TR!$E16:$BB16,"=5")+COUNTIF(TR!$E23:$BB23,"=5")+COUNTIF(TR!$E30:$BB30,"=5")+COUNTIF(TR!$E37:$BB37,"=5")</f>
        <v>0</v>
      </c>
      <c r="H23" s="64">
        <f t="array" ref="H23">IF(SUM(C23:G23)=0,,SUM((C23:G23)*($C$18:$G$18))/SUM(C23:G23))</f>
        <v>0</v>
      </c>
    </row>
    <row r="24" spans="2:8" ht="13.5" thickBot="1" x14ac:dyDescent="0.25">
      <c r="B24" s="57" t="s">
        <v>33</v>
      </c>
      <c r="C24" s="59">
        <f>SUM(C19:C23)*C$18</f>
        <v>0</v>
      </c>
      <c r="D24" s="60">
        <f>SUM(D19:D23)*D$18</f>
        <v>0</v>
      </c>
      <c r="E24" s="60">
        <f>SUM(E19:E23)*E$18</f>
        <v>0</v>
      </c>
      <c r="F24" s="60">
        <f>SUM(F19:F23)*F$18</f>
        <v>0</v>
      </c>
      <c r="G24" s="61">
        <f>SUM(G19:G23)*G$18</f>
        <v>0</v>
      </c>
      <c r="H24" s="65">
        <f>SUM(H19:H23)*4</f>
        <v>0</v>
      </c>
    </row>
    <row r="26" spans="2:8" ht="13.5" thickBot="1" x14ac:dyDescent="0.25">
      <c r="B26" t="s">
        <v>77</v>
      </c>
      <c r="D26" s="186">
        <f>TR!E41</f>
        <v>0.2</v>
      </c>
    </row>
    <row r="27" spans="2:8" x14ac:dyDescent="0.2">
      <c r="B27" s="58">
        <v>1</v>
      </c>
      <c r="C27" s="192">
        <f>COUNTIF(TR!$C43,"=1")</f>
        <v>0</v>
      </c>
      <c r="D27" s="193">
        <f>COUNTIF(TR!$C43,"=2")</f>
        <v>0</v>
      </c>
      <c r="E27" s="193">
        <f>COUNTIF(TR!$C43,"=3")</f>
        <v>0</v>
      </c>
      <c r="F27" s="193">
        <f>COUNTIF(TR!$C43,"=4")</f>
        <v>0</v>
      </c>
      <c r="G27" s="194">
        <f>COUNTIF(TR!$C43,"=5")</f>
        <v>0</v>
      </c>
      <c r="H27" s="66">
        <f t="array" ref="H27">IF(SUM(C27:G27)=0,,SUM((C27:G27)*($C$18:$G$18))/SUM(C27:G27))</f>
        <v>0</v>
      </c>
    </row>
    <row r="28" spans="2:8" x14ac:dyDescent="0.2">
      <c r="B28" s="52">
        <v>2</v>
      </c>
      <c r="C28" s="53">
        <f>COUNTIF(TR!$C44,"=1")</f>
        <v>0</v>
      </c>
      <c r="D28" s="54">
        <f>COUNTIF(TR!$C44,"=2")</f>
        <v>0</v>
      </c>
      <c r="E28" s="54">
        <f>COUNTIF(TR!$C44,"=3")</f>
        <v>0</v>
      </c>
      <c r="F28" s="54">
        <f>COUNTIF(TR!$C44,"=4")</f>
        <v>0</v>
      </c>
      <c r="G28" s="55">
        <f>COUNTIF(TR!$C44,"=5")</f>
        <v>0</v>
      </c>
      <c r="H28" s="63">
        <f t="array" ref="H28">IF(SUM(C28:G28)=0,,SUM((C28:G28)*($C$18:$G$18))/SUM(C28:G28))</f>
        <v>0</v>
      </c>
    </row>
    <row r="29" spans="2:8" x14ac:dyDescent="0.2">
      <c r="B29" s="52">
        <v>3</v>
      </c>
      <c r="C29" s="53">
        <f>COUNTIF(TR!$C45,"=1")</f>
        <v>0</v>
      </c>
      <c r="D29" s="54">
        <f>COUNTIF(TR!$C45,"=2")</f>
        <v>0</v>
      </c>
      <c r="E29" s="54">
        <f>COUNTIF(TR!$C45,"=3")</f>
        <v>0</v>
      </c>
      <c r="F29" s="54">
        <f>COUNTIF(TR!$C45,"=4")</f>
        <v>0</v>
      </c>
      <c r="G29" s="55">
        <f>COUNTIF(TR!$C45,"=5")</f>
        <v>0</v>
      </c>
      <c r="H29" s="63">
        <f t="array" ref="H29">IF(SUM(C29:G29)=0,,SUM((C29:G29)*($C$18:$G$18))/SUM(C29:G29))</f>
        <v>0</v>
      </c>
    </row>
    <row r="30" spans="2:8" x14ac:dyDescent="0.2">
      <c r="B30" s="52">
        <v>4</v>
      </c>
      <c r="C30" s="53">
        <f>COUNTIF(TR!$C46,"=1")</f>
        <v>0</v>
      </c>
      <c r="D30" s="54">
        <f>COUNTIF(TR!$C46,"=2")</f>
        <v>0</v>
      </c>
      <c r="E30" s="54">
        <f>COUNTIF(TR!$C46,"=3")</f>
        <v>0</v>
      </c>
      <c r="F30" s="54">
        <f>COUNTIF(TR!$C46,"=4")</f>
        <v>0</v>
      </c>
      <c r="G30" s="55">
        <f>COUNTIF(TR!$C46,"=5")</f>
        <v>0</v>
      </c>
      <c r="H30" s="63">
        <f t="array" ref="H30">IF(SUM(C30:G30)=0,,SUM((C30:G30)*($C$18:$G$18))/SUM(C30:G30))</f>
        <v>0</v>
      </c>
    </row>
    <row r="31" spans="2:8" ht="13.5" thickBot="1" x14ac:dyDescent="0.25">
      <c r="B31" s="52">
        <v>5</v>
      </c>
      <c r="C31" s="187">
        <f>COUNTIF(TR!$C47,"=1")</f>
        <v>0</v>
      </c>
      <c r="D31" s="188">
        <f>COUNTIF(TR!$C47,"=2")</f>
        <v>0</v>
      </c>
      <c r="E31" s="188">
        <f>COUNTIF(TR!$C47,"=3")</f>
        <v>0</v>
      </c>
      <c r="F31" s="188">
        <f>COUNTIF(TR!$C47,"=4")</f>
        <v>0</v>
      </c>
      <c r="G31" s="189">
        <f>COUNTIF(TR!$C47,"=5")</f>
        <v>0</v>
      </c>
      <c r="H31" s="64">
        <f t="array" ref="H31">IF(SUM(C31:G31)=0,,SUM((C31:G31)*($C$18:$G$18))/SUM(C31:G31))</f>
        <v>0</v>
      </c>
    </row>
    <row r="32" spans="2:8" ht="13.5" thickBot="1" x14ac:dyDescent="0.25">
      <c r="B32" s="57" t="s">
        <v>33</v>
      </c>
      <c r="C32" s="59">
        <f>SUM(C27:C31)*C$18</f>
        <v>0</v>
      </c>
      <c r="D32" s="60">
        <f>SUM(D27:D31)*D$18</f>
        <v>0</v>
      </c>
      <c r="E32" s="60">
        <f>SUM(E27:E31)*E$18</f>
        <v>0</v>
      </c>
      <c r="F32" s="60">
        <f>SUM(F27:F31)*F$18</f>
        <v>0</v>
      </c>
      <c r="G32" s="61">
        <f>SUM(G27:G31)*G$18</f>
        <v>0</v>
      </c>
      <c r="H32" s="65">
        <f>SUM(H27:H31)*4</f>
        <v>0</v>
      </c>
    </row>
    <row r="34" spans="2:8" ht="13.5" thickBot="1" x14ac:dyDescent="0.25">
      <c r="B34" s="18" t="s">
        <v>78</v>
      </c>
      <c r="D34" s="186">
        <f>TR!O41</f>
        <v>0.3</v>
      </c>
    </row>
    <row r="35" spans="2:8" x14ac:dyDescent="0.2">
      <c r="B35" s="58">
        <v>1</v>
      </c>
      <c r="C35" s="192">
        <f>COUNTIF(TR!$K43:$Q43,"=1")</f>
        <v>0</v>
      </c>
      <c r="D35" s="193">
        <f>COUNTIF(TR!$K43:$Q43,"=2")</f>
        <v>0</v>
      </c>
      <c r="E35" s="193">
        <f>COUNTIF(TR!$K43:$Q43,"=3")</f>
        <v>0</v>
      </c>
      <c r="F35" s="193">
        <f>COUNTIF(TR!$K43:$Q43,"=4")</f>
        <v>0</v>
      </c>
      <c r="G35" s="194">
        <f>COUNTIF(TR!$K43:$Q43,"=5")</f>
        <v>0</v>
      </c>
      <c r="H35" s="66">
        <f t="array" ref="H35">IF(SUM(C35:G35)=0,,SUM((C35:G35)*($C$18:$G$18))/SUM(C35:G35))</f>
        <v>0</v>
      </c>
    </row>
    <row r="36" spans="2:8" x14ac:dyDescent="0.2">
      <c r="B36" s="52">
        <v>2</v>
      </c>
      <c r="C36" s="53">
        <f>COUNTIF(TR!$K44:$Q44,"=1")</f>
        <v>0</v>
      </c>
      <c r="D36" s="54">
        <f>COUNTIF(TR!$K44:$Q44,"=2")</f>
        <v>0</v>
      </c>
      <c r="E36" s="54">
        <f>COUNTIF(TR!$K44:$Q44,"=3")</f>
        <v>0</v>
      </c>
      <c r="F36" s="54">
        <f>COUNTIF(TR!$K44:$Q44,"=4")</f>
        <v>0</v>
      </c>
      <c r="G36" s="55">
        <f>COUNTIF(TR!$K44:$Q44,"=5")</f>
        <v>0</v>
      </c>
      <c r="H36" s="63">
        <f t="array" ref="H36">IF(SUM(C36:G36)=0,,SUM((C36:G36)*($C$18:$G$18))/SUM(C36:G36))</f>
        <v>0</v>
      </c>
    </row>
    <row r="37" spans="2:8" x14ac:dyDescent="0.2">
      <c r="B37" s="52">
        <v>3</v>
      </c>
      <c r="C37" s="53">
        <f>COUNTIF(TR!$K45:$Q45,"=1")</f>
        <v>0</v>
      </c>
      <c r="D37" s="54">
        <f>COUNTIF(TR!$K45:$Q45,"=2")</f>
        <v>0</v>
      </c>
      <c r="E37" s="54">
        <f>COUNTIF(TR!$K45:$Q45,"=3")</f>
        <v>0</v>
      </c>
      <c r="F37" s="54">
        <f>COUNTIF(TR!$K45:$Q45,"=4")</f>
        <v>0</v>
      </c>
      <c r="G37" s="55">
        <f>COUNTIF(TR!$K45:$Q45,"=5")</f>
        <v>0</v>
      </c>
      <c r="H37" s="63">
        <f t="array" ref="H37">IF(SUM(C37:G37)=0,,SUM((C37:G37)*($C$18:$G$18))/SUM(C37:G37))</f>
        <v>0</v>
      </c>
    </row>
    <row r="38" spans="2:8" x14ac:dyDescent="0.2">
      <c r="B38" s="52">
        <v>4</v>
      </c>
      <c r="C38" s="53">
        <f>COUNTIF(TR!$K46:$Q46,"=1")</f>
        <v>0</v>
      </c>
      <c r="D38" s="54">
        <f>COUNTIF(TR!$K46:$Q46,"=2")</f>
        <v>0</v>
      </c>
      <c r="E38" s="54">
        <f>COUNTIF(TR!$K46:$Q46,"=3")</f>
        <v>0</v>
      </c>
      <c r="F38" s="54">
        <f>COUNTIF(TR!$K46:$Q46,"=4")</f>
        <v>0</v>
      </c>
      <c r="G38" s="55">
        <f>COUNTIF(TR!$K46:$Q46,"=5")</f>
        <v>0</v>
      </c>
      <c r="H38" s="63">
        <f t="array" ref="H38">IF(SUM(C38:G38)=0,,SUM((C38:G38)*($C$18:$G$18))/SUM(C38:G38))</f>
        <v>0</v>
      </c>
    </row>
    <row r="39" spans="2:8" ht="13.5" thickBot="1" x14ac:dyDescent="0.25">
      <c r="B39" s="56">
        <v>5</v>
      </c>
      <c r="C39" s="47">
        <f>COUNTIF(TR!$K47:$Q47,"=1")</f>
        <v>0</v>
      </c>
      <c r="D39" s="48">
        <f>COUNTIF(TR!$K47:$Q47,"=2")</f>
        <v>0</v>
      </c>
      <c r="E39" s="48">
        <f>COUNTIF(TR!$K47:$Q47,"=3")</f>
        <v>0</v>
      </c>
      <c r="F39" s="48">
        <f>COUNTIF(TR!$K47:$Q47,"=4")</f>
        <v>0</v>
      </c>
      <c r="G39" s="49">
        <f>COUNTIF(TR!$K47:$Q47,"=5")</f>
        <v>0</v>
      </c>
      <c r="H39" s="64">
        <f t="array" ref="H39">IF(SUM(C39:G39)=0,,SUM((C39:G39)*($C$18:$G$18))/SUM(C39:G39))</f>
        <v>0</v>
      </c>
    </row>
    <row r="40" spans="2:8" ht="13.5" thickBot="1" x14ac:dyDescent="0.25">
      <c r="B40" s="57" t="s">
        <v>33</v>
      </c>
      <c r="C40" s="59">
        <f>SUM(C35:C39)*C$18</f>
        <v>0</v>
      </c>
      <c r="D40" s="60">
        <f>SUM(D35:D39)*D$18</f>
        <v>0</v>
      </c>
      <c r="E40" s="60">
        <f>SUM(E35:E39)*E$18</f>
        <v>0</v>
      </c>
      <c r="F40" s="60">
        <f>SUM(F35:F39)*F$18</f>
        <v>0</v>
      </c>
      <c r="G40" s="61">
        <f>SUM(G35:G39)*G$18</f>
        <v>0</v>
      </c>
      <c r="H40" s="65">
        <f>SUM(H35:H39)*4</f>
        <v>0</v>
      </c>
    </row>
    <row r="42" spans="2:8" ht="13.5" thickBot="1" x14ac:dyDescent="0.25">
      <c r="B42" t="s">
        <v>79</v>
      </c>
      <c r="D42" s="186">
        <f>TR!AC40</f>
        <v>0.3</v>
      </c>
    </row>
    <row r="43" spans="2:8" x14ac:dyDescent="0.2">
      <c r="B43" s="58">
        <v>1</v>
      </c>
      <c r="C43" s="192">
        <f>COUNTIF(TR!$U43:$AF43,"=1")</f>
        <v>0</v>
      </c>
      <c r="D43" s="193">
        <f>COUNTIF(TR!$U43:$AF43,"=2")</f>
        <v>0</v>
      </c>
      <c r="E43" s="193">
        <f>COUNTIF(TR!$U43:$AF43,"=3")</f>
        <v>0</v>
      </c>
      <c r="F43" s="193">
        <f>COUNTIF(TR!$U43:$AF43,"=4")</f>
        <v>0</v>
      </c>
      <c r="G43" s="194">
        <f>COUNTIF(TR!$U43:$AF43,"=5")</f>
        <v>0</v>
      </c>
      <c r="H43" s="66">
        <f t="array" ref="H43">IF(SUM(C43:G43)=0,,SUM((C43:G43)*($C$18:$G$18))/SUM(C43:G43))</f>
        <v>0</v>
      </c>
    </row>
    <row r="44" spans="2:8" x14ac:dyDescent="0.2">
      <c r="B44" s="52">
        <v>2</v>
      </c>
      <c r="C44" s="53">
        <f>COUNTIF(TR!$U44:$AF44,"=1")</f>
        <v>0</v>
      </c>
      <c r="D44" s="54">
        <f>COUNTIF(TR!$U44:$AF44,"=2")</f>
        <v>0</v>
      </c>
      <c r="E44" s="54">
        <f>COUNTIF(TR!$U44:$AF44,"=3")</f>
        <v>0</v>
      </c>
      <c r="F44" s="54">
        <f>COUNTIF(TR!$U44:$AF44,"=4")</f>
        <v>0</v>
      </c>
      <c r="G44" s="55">
        <f>COUNTIF(TR!$U44:$AF44,"=5")</f>
        <v>0</v>
      </c>
      <c r="H44" s="63">
        <f t="array" ref="H44">IF(SUM(C44:G44)=0,,SUM((C44:G44)*($C$18:$G$18))/SUM(C44:G44))</f>
        <v>0</v>
      </c>
    </row>
    <row r="45" spans="2:8" x14ac:dyDescent="0.2">
      <c r="B45" s="52">
        <v>3</v>
      </c>
      <c r="C45" s="53">
        <f>COUNTIF(TR!$U45:$AF45,"=1")</f>
        <v>0</v>
      </c>
      <c r="D45" s="54">
        <f>COUNTIF(TR!$U45:$AF45,"=2")</f>
        <v>0</v>
      </c>
      <c r="E45" s="54">
        <f>COUNTIF(TR!$U45:$AF45,"=3")</f>
        <v>0</v>
      </c>
      <c r="F45" s="54">
        <f>COUNTIF(TR!$U45:$AF45,"=4")</f>
        <v>0</v>
      </c>
      <c r="G45" s="55">
        <f>COUNTIF(TR!$U45:$AF45,"=5")</f>
        <v>0</v>
      </c>
      <c r="H45" s="63">
        <f t="array" ref="H45">IF(SUM(C45:G45)=0,,SUM((C45:G45)*($C$18:$G$18))/SUM(C45:G45))</f>
        <v>0</v>
      </c>
    </row>
    <row r="46" spans="2:8" x14ac:dyDescent="0.2">
      <c r="B46" s="52">
        <v>4</v>
      </c>
      <c r="C46" s="53">
        <f>COUNTIF(TR!$U46:$AF46,"=1")</f>
        <v>0</v>
      </c>
      <c r="D46" s="54">
        <f>COUNTIF(TR!$U46:$AF46,"=2")</f>
        <v>0</v>
      </c>
      <c r="E46" s="54">
        <f>COUNTIF(TR!$U46:$AF46,"=3")</f>
        <v>0</v>
      </c>
      <c r="F46" s="54">
        <f>COUNTIF(TR!$U46:$AF46,"=4")</f>
        <v>0</v>
      </c>
      <c r="G46" s="55">
        <f>COUNTIF(TR!$U46:$AF46,"=5")</f>
        <v>0</v>
      </c>
      <c r="H46" s="63">
        <f t="array" ref="H46">IF(SUM(C46:G46)=0,,SUM((C46:G46)*($C$18:$G$18))/SUM(C46:G46))</f>
        <v>0</v>
      </c>
    </row>
    <row r="47" spans="2:8" ht="13.5" thickBot="1" x14ac:dyDescent="0.25">
      <c r="B47" s="52">
        <v>5</v>
      </c>
      <c r="C47" s="187">
        <f>COUNTIF(TR!$U47:$AF47,"=1")</f>
        <v>0</v>
      </c>
      <c r="D47" s="188">
        <f>COUNTIF(TR!$U47:$AF47,"=2")</f>
        <v>0</v>
      </c>
      <c r="E47" s="188">
        <f>COUNTIF(TR!$U47:$AF47,"=3")</f>
        <v>0</v>
      </c>
      <c r="F47" s="188">
        <f>COUNTIF(TR!$U47:$AF47,"=4")</f>
        <v>0</v>
      </c>
      <c r="G47" s="189">
        <f>COUNTIF(TR!$U47:$AF47,"=5")</f>
        <v>0</v>
      </c>
      <c r="H47" s="63">
        <f t="array" ref="H47">IF(SUM(C47:G47)=0,,SUM((C47:G47)*($C$18:$G$18))/SUM(C47:G47))</f>
        <v>0</v>
      </c>
    </row>
    <row r="48" spans="2:8" ht="13.5" thickBot="1" x14ac:dyDescent="0.25">
      <c r="B48" s="57" t="s">
        <v>33</v>
      </c>
      <c r="C48" s="59">
        <f>SUM(C43:C47)*C$18</f>
        <v>0</v>
      </c>
      <c r="D48" s="60">
        <f>SUM(D43:D47)*D$18</f>
        <v>0</v>
      </c>
      <c r="E48" s="60">
        <f>SUM(E43:E47)*E$18</f>
        <v>0</v>
      </c>
      <c r="F48" s="60">
        <f>SUM(F43:F47)*F$18</f>
        <v>0</v>
      </c>
      <c r="G48" s="61">
        <f>SUM(G43:G47)*G$18</f>
        <v>0</v>
      </c>
      <c r="H48" s="65">
        <f>SUM(H43:H47)*4</f>
        <v>0</v>
      </c>
    </row>
    <row r="54" spans="6:8" x14ac:dyDescent="0.2">
      <c r="F54" s="438" t="str">
        <f>TI!DZ75</f>
        <v>DANIEL E. MALIGAT, JR., DIT</v>
      </c>
      <c r="G54" s="438"/>
      <c r="H54" s="438"/>
    </row>
    <row r="55" spans="6:8" x14ac:dyDescent="0.2">
      <c r="F55" s="453" t="str">
        <f>TI!DZ76</f>
        <v>DEAN</v>
      </c>
      <c r="G55" s="453"/>
      <c r="H55" s="453"/>
    </row>
  </sheetData>
  <sheetProtection password="CA99" sheet="1" objects="1" scenarios="1"/>
  <mergeCells count="10">
    <mergeCell ref="F54:H54"/>
    <mergeCell ref="F55:H55"/>
    <mergeCell ref="C17:G17"/>
    <mergeCell ref="B4:H4"/>
    <mergeCell ref="B5:H5"/>
    <mergeCell ref="B7:H7"/>
    <mergeCell ref="B8:H8"/>
    <mergeCell ref="E9:G9"/>
    <mergeCell ref="C12:F12"/>
    <mergeCell ref="C13:F13"/>
  </mergeCells>
  <phoneticPr fontId="4" type="noConversion"/>
  <printOptions horizontalCentered="1"/>
  <pageMargins left="0.75" right="0.5" top="0.75" bottom="1" header="0.5" footer="0.5"/>
  <pageSetup paperSize="291" orientation="portrait" blackAndWhite="1" horizontalDpi="4294967295" verticalDpi="72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/>
  <dimension ref="B1:H55"/>
  <sheetViews>
    <sheetView showZeros="0" topLeftCell="A19" zoomScale="75" workbookViewId="0"/>
  </sheetViews>
  <sheetFormatPr defaultRowHeight="12.75" x14ac:dyDescent="0.2"/>
  <cols>
    <col min="1" max="1" width="1.85546875" customWidth="1"/>
    <col min="2" max="2" width="20.140625" customWidth="1"/>
    <col min="8" max="8" width="10.140625" bestFit="1" customWidth="1"/>
  </cols>
  <sheetData>
    <row r="1" spans="2:8" x14ac:dyDescent="0.2">
      <c r="B1" t="s">
        <v>74</v>
      </c>
    </row>
    <row r="4" spans="2:8" x14ac:dyDescent="0.2">
      <c r="B4" s="353" t="s">
        <v>1</v>
      </c>
      <c r="C4" s="353"/>
      <c r="D4" s="353"/>
      <c r="E4" s="353"/>
      <c r="F4" s="353"/>
      <c r="G4" s="353"/>
      <c r="H4" s="353"/>
    </row>
    <row r="5" spans="2:8" x14ac:dyDescent="0.2">
      <c r="B5" s="353" t="s">
        <v>2</v>
      </c>
      <c r="C5" s="353"/>
      <c r="D5" s="353"/>
      <c r="E5" s="353"/>
      <c r="F5" s="353"/>
      <c r="G5" s="353"/>
      <c r="H5" s="353"/>
    </row>
    <row r="7" spans="2:8" x14ac:dyDescent="0.2">
      <c r="B7" s="353" t="s">
        <v>28</v>
      </c>
      <c r="C7" s="353"/>
      <c r="D7" s="353"/>
      <c r="E7" s="353"/>
      <c r="F7" s="353"/>
      <c r="G7" s="353"/>
      <c r="H7" s="353"/>
    </row>
    <row r="8" spans="2:8" x14ac:dyDescent="0.2">
      <c r="B8" s="353" t="s">
        <v>75</v>
      </c>
      <c r="C8" s="353"/>
      <c r="D8" s="353"/>
      <c r="E8" s="353"/>
      <c r="F8" s="353"/>
      <c r="G8" s="353"/>
      <c r="H8" s="353"/>
    </row>
    <row r="9" spans="2:8" x14ac:dyDescent="0.2">
      <c r="C9" s="1" t="s">
        <v>30</v>
      </c>
      <c r="E9" s="454"/>
      <c r="F9" s="454"/>
      <c r="G9" s="454"/>
    </row>
    <row r="12" spans="2:8" x14ac:dyDescent="0.2">
      <c r="B12" t="s">
        <v>41</v>
      </c>
      <c r="C12" s="438" t="str">
        <f>TI!DC6</f>
        <v xml:space="preserve">,  </v>
      </c>
      <c r="D12" s="438"/>
      <c r="E12" s="438"/>
      <c r="F12" s="438"/>
    </row>
    <row r="13" spans="2:8" x14ac:dyDescent="0.2">
      <c r="B13" t="s">
        <v>42</v>
      </c>
      <c r="C13" s="408">
        <f>TI!MG6</f>
        <v>0</v>
      </c>
      <c r="D13" s="408"/>
      <c r="E13" s="408"/>
      <c r="F13" s="408"/>
    </row>
    <row r="15" spans="2:8" x14ac:dyDescent="0.2">
      <c r="B15" s="87" t="s">
        <v>61</v>
      </c>
    </row>
    <row r="16" spans="2:8" ht="13.5" thickBot="1" x14ac:dyDescent="0.25">
      <c r="B16" s="44" t="s">
        <v>76</v>
      </c>
      <c r="D16" s="88">
        <f>TE!J9</f>
        <v>0.2</v>
      </c>
    </row>
    <row r="17" spans="2:8" x14ac:dyDescent="0.2">
      <c r="B17" s="45" t="s">
        <v>31</v>
      </c>
      <c r="C17" s="485" t="s">
        <v>36</v>
      </c>
      <c r="D17" s="486"/>
      <c r="E17" s="486"/>
      <c r="F17" s="486"/>
      <c r="G17" s="487"/>
      <c r="H17" s="46" t="s">
        <v>34</v>
      </c>
    </row>
    <row r="18" spans="2:8" ht="13.5" thickBot="1" x14ac:dyDescent="0.25">
      <c r="B18" s="35" t="s">
        <v>32</v>
      </c>
      <c r="C18" s="47">
        <v>1</v>
      </c>
      <c r="D18" s="48">
        <v>2</v>
      </c>
      <c r="E18" s="48">
        <v>3</v>
      </c>
      <c r="F18" s="48">
        <v>4</v>
      </c>
      <c r="G18" s="49">
        <v>5</v>
      </c>
      <c r="H18" s="50" t="s">
        <v>35</v>
      </c>
    </row>
    <row r="19" spans="2:8" x14ac:dyDescent="0.2">
      <c r="B19" s="51">
        <v>1</v>
      </c>
      <c r="C19" s="187">
        <f>COUNTIF(TE!$E12:$BB12,"=1")+COUNTIF(TE!$E19:$BB19,"=1")+COUNTIF(TE!$E26:$BB26,"=1")+COUNTIF(TE!$E33:$BB33,"=1")</f>
        <v>0</v>
      </c>
      <c r="D19" s="188">
        <f>COUNTIF(TE!$E12:$BB12,"=2")+COUNTIF(TE!$E19:$BB19,"=2")+COUNTIF(TE!$E26:$BB26,"=2")+COUNTIF(TE!$E33:$BB33,"=2")</f>
        <v>0</v>
      </c>
      <c r="E19" s="188">
        <f>COUNTIF(TE!$E12:$BB12,"=3")+COUNTIF(TE!$E19:$BB19,"=3")+COUNTIF(TE!$E26:$BB26,"=3")+COUNTIF(TE!$E33:$BB33,"=3")</f>
        <v>0</v>
      </c>
      <c r="F19" s="188">
        <f>COUNTIF(TE!$E12:$BB12,"=4")+COUNTIF(TE!$E19:$BB19,"=4")+COUNTIF(TE!$E26:$BB26,"=4")+COUNTIF(TE!$E33:$BB33,"=4")</f>
        <v>0</v>
      </c>
      <c r="G19" s="189">
        <f>COUNTIF(TE!$E12:$BB12,"=5")+COUNTIF(TE!$E19:$BB19,"=5")+COUNTIF(TE!$E26:$BB26,"=5")+COUNTIF(TE!$E33:$BB33,"=5")</f>
        <v>0</v>
      </c>
      <c r="H19" s="62">
        <f t="array" ref="H19">IF(SUM(C19:G19)=0,,SUM((C19:G19)*($C$18:$G$18))/SUM(C19:G19))</f>
        <v>0</v>
      </c>
    </row>
    <row r="20" spans="2:8" x14ac:dyDescent="0.2">
      <c r="B20" s="52">
        <v>2</v>
      </c>
      <c r="C20" s="53">
        <f>COUNTIF(TE!$E13:$BB13,"=1")+COUNTIF(TE!$E20:$BB20,"=1")+COUNTIF(TE!$E27:$BB27,"=1")+COUNTIF(TE!$E34:$BB34,"=1")</f>
        <v>0</v>
      </c>
      <c r="D20" s="54">
        <f>COUNTIF(TE!$E13:$BB13,"=2")+COUNTIF(TE!$E20:$BB20,"=2")+COUNTIF(TE!$E27:$BB27,"=2")+COUNTIF(TE!$E34:$BB34,"=2")</f>
        <v>0</v>
      </c>
      <c r="E20" s="54">
        <f>COUNTIF(TE!$E13:$BB13,"=3")+COUNTIF(TE!$E20:$BB20,"=3")+COUNTIF(TE!$E27:$BB27,"=3")+COUNTIF(TE!$E34:$BB34,"=3")</f>
        <v>0</v>
      </c>
      <c r="F20" s="54">
        <f>COUNTIF(TE!$E13:$BB13,"=4")+COUNTIF(TE!$E20:$BB20,"=4")+COUNTIF(TE!$E27:$BB27,"=4")+COUNTIF(TE!$E34:$BB34,"=4")</f>
        <v>0</v>
      </c>
      <c r="G20" s="55">
        <f>COUNTIF(TE!$E13:$BB13,"=5")+COUNTIF(TE!$E20:$BB20,"=5")+COUNTIF(TE!$E27:$BB27,"=5")+COUNTIF(TE!$E34:$BB34,"=5")</f>
        <v>0</v>
      </c>
      <c r="H20" s="63">
        <f t="array" ref="H20">IF(SUM(C20:G20)=0,,SUM((C20:G20)*($C$18:$G$18))/SUM(C20:G20))</f>
        <v>0</v>
      </c>
    </row>
    <row r="21" spans="2:8" x14ac:dyDescent="0.2">
      <c r="B21" s="52">
        <v>3</v>
      </c>
      <c r="C21" s="53">
        <f>COUNTIF(TE!$E14:$BB14,"=1")+COUNTIF(TE!$E21:$BB21,"=1")+COUNTIF(TE!$E28:$BB28,"=1")+COUNTIF(TE!$E35:$BB35,"=1")</f>
        <v>0</v>
      </c>
      <c r="D21" s="54">
        <f>COUNTIF(TE!$E14:$BB14,"=2")+COUNTIF(TE!$E21:$BB21,"=2")+COUNTIF(TE!$E28:$BB28,"=2")+COUNTIF(TE!$E35:$BB35,"=2")</f>
        <v>0</v>
      </c>
      <c r="E21" s="54">
        <f>COUNTIF(TE!$E14:$BB14,"=3")+COUNTIF(TE!$E21:$BB21,"=3")+COUNTIF(TE!$E28:$BB28,"=3")+COUNTIF(TE!$E35:$BB35,"=3")</f>
        <v>0</v>
      </c>
      <c r="F21" s="54">
        <f>COUNTIF(TE!$E14:$BB14,"=4")+COUNTIF(TE!$E21:$BB21,"=4")+COUNTIF(TE!$E28:$BB28,"=4")+COUNTIF(TE!$E35:$BB35,"=4")</f>
        <v>0</v>
      </c>
      <c r="G21" s="55">
        <f>COUNTIF(TE!$E14:$BB14,"=5")+COUNTIF(TE!$E21:$BB21,"=5")+COUNTIF(TE!$E28:$BB28,"=5")+COUNTIF(TE!$E35:$BB35,"=5")</f>
        <v>0</v>
      </c>
      <c r="H21" s="63">
        <f t="array" ref="H21">IF(SUM(C21:G21)=0,,SUM((C21:G21)*($C$18:$G$18))/SUM(C21:G21))</f>
        <v>0</v>
      </c>
    </row>
    <row r="22" spans="2:8" x14ac:dyDescent="0.2">
      <c r="B22" s="52">
        <v>4</v>
      </c>
      <c r="C22" s="53">
        <f>COUNTIF(TE!$E15:$BB15,"=1")+COUNTIF(TE!$E22:$BB22,"=1")+COUNTIF(TE!$E29:$BB29,"=1")+COUNTIF(TE!$E36:$BB36,"=1")</f>
        <v>0</v>
      </c>
      <c r="D22" s="54">
        <f>COUNTIF(TE!$E15:$BB15,"=2")+COUNTIF(TE!$E22:$BB22,"=2")+COUNTIF(TE!$E29:$BB29,"=2")+COUNTIF(TE!$E36:$BB36,"=2")</f>
        <v>0</v>
      </c>
      <c r="E22" s="54">
        <f>COUNTIF(TE!$E15:$BB15,"=3")+COUNTIF(TE!$E22:$BB22,"=3")+COUNTIF(TE!$E29:$BB29,"=3")+COUNTIF(TE!$E36:$BB36,"=3")</f>
        <v>0</v>
      </c>
      <c r="F22" s="54">
        <f>COUNTIF(TE!$E15:$BB15,"=4")+COUNTIF(TE!$E22:$BB22,"=4")+COUNTIF(TE!$E29:$BB29,"=4")+COUNTIF(TE!$E36:$BB36,"=4")</f>
        <v>0</v>
      </c>
      <c r="G22" s="55">
        <f>COUNTIF(TE!$E15:$BB15,"=5")+COUNTIF(TE!$E22:$BB22,"=5")+COUNTIF(TE!$E29:$BB29,"=5")+COUNTIF(TE!$E36:$BB36,"=5")</f>
        <v>0</v>
      </c>
      <c r="H22" s="63">
        <f t="array" ref="H22">IF(SUM(C22:G22)=0,,SUM((C22:G22)*($C$18:$G$18))/SUM(C22:G22))</f>
        <v>0</v>
      </c>
    </row>
    <row r="23" spans="2:8" ht="13.5" thickBot="1" x14ac:dyDescent="0.25">
      <c r="B23" s="56">
        <v>5</v>
      </c>
      <c r="C23" s="190">
        <f>COUNTIF(TE!$E16:$BB16,"=1")+COUNTIF(TE!$E23:$BB23,"=1")+COUNTIF(TE!$E30:$BB30,"=1")+COUNTIF(TE!$E37:$BB37,"=1")</f>
        <v>0</v>
      </c>
      <c r="D23" s="13">
        <f>COUNTIF(TE!$E16:$BB16,"=2")+COUNTIF(TE!$E23:$BB23,"=2")+COUNTIF(TE!$E30:$BB30,"=2")+COUNTIF(TE!$E37:$BB37,"=2")</f>
        <v>0</v>
      </c>
      <c r="E23" s="13">
        <f>COUNTIF(TE!$E16:$BB16,"=3")+COUNTIF(TE!$E23:$BB23,"=3")+COUNTIF(TE!$E30:$BB30,"=3")+COUNTIF(TE!$E37:$BB37,"=3")</f>
        <v>0</v>
      </c>
      <c r="F23" s="13">
        <f>COUNTIF(TE!$E16:$BB16,"=4")+COUNTIF(TE!$E23:$BB23,"=4")+COUNTIF(TE!$E30:$BB30,"=4")+COUNTIF(TE!$E37:$BB37,"=4")</f>
        <v>0</v>
      </c>
      <c r="G23" s="191">
        <f>COUNTIF(TE!$E16:$BB16,"=5")+COUNTIF(TE!$E23:$BB23,"=5")+COUNTIF(TE!$E30:$BB30,"=5")+COUNTIF(TE!$E37:$BB37,"=5")</f>
        <v>0</v>
      </c>
      <c r="H23" s="64">
        <f t="array" ref="H23">IF(SUM(C23:G23)=0,,SUM((C23:G23)*($C$18:$G$18))/SUM(C23:G23))</f>
        <v>0</v>
      </c>
    </row>
    <row r="24" spans="2:8" ht="13.5" thickBot="1" x14ac:dyDescent="0.25">
      <c r="B24" s="57" t="s">
        <v>33</v>
      </c>
      <c r="C24" s="59">
        <f>SUM(C19:C23)*C$18</f>
        <v>0</v>
      </c>
      <c r="D24" s="60">
        <f>SUM(D19:D23)*D$18</f>
        <v>0</v>
      </c>
      <c r="E24" s="60">
        <f>SUM(E19:E23)*E$18</f>
        <v>0</v>
      </c>
      <c r="F24" s="60">
        <f>SUM(F19:F23)*F$18</f>
        <v>0</v>
      </c>
      <c r="G24" s="61">
        <f>SUM(G19:G23)*G$18</f>
        <v>0</v>
      </c>
      <c r="H24" s="65">
        <f>SUM(H19:H23)*4</f>
        <v>0</v>
      </c>
    </row>
    <row r="26" spans="2:8" ht="13.5" thickBot="1" x14ac:dyDescent="0.25">
      <c r="B26" t="s">
        <v>77</v>
      </c>
      <c r="D26" s="88">
        <f>TE!E41</f>
        <v>0.2</v>
      </c>
    </row>
    <row r="27" spans="2:8" x14ac:dyDescent="0.2">
      <c r="B27" s="58">
        <v>1</v>
      </c>
      <c r="C27" s="192">
        <f>COUNTIF(TE!$C43,"=1")</f>
        <v>0</v>
      </c>
      <c r="D27" s="193">
        <f>COUNTIF(TE!$C43,"=2")</f>
        <v>0</v>
      </c>
      <c r="E27" s="193">
        <f>COUNTIF(TE!$C43,"=3")</f>
        <v>0</v>
      </c>
      <c r="F27" s="193">
        <f>COUNTIF(TE!$C43,"=4")</f>
        <v>0</v>
      </c>
      <c r="G27" s="194">
        <f>COUNTIF(TE!$C43,"=5")</f>
        <v>0</v>
      </c>
      <c r="H27" s="66">
        <f t="array" ref="H27">IF(SUM(C27:G27)=0,,SUM((C27:G27)*($C$18:$G$18))/SUM(C27:G27))</f>
        <v>0</v>
      </c>
    </row>
    <row r="28" spans="2:8" x14ac:dyDescent="0.2">
      <c r="B28" s="52">
        <v>2</v>
      </c>
      <c r="C28" s="53">
        <f>COUNTIF(TE!$C44,"=1")</f>
        <v>0</v>
      </c>
      <c r="D28" s="54">
        <f>COUNTIF(TE!$C44,"=2")</f>
        <v>0</v>
      </c>
      <c r="E28" s="54">
        <f>COUNTIF(TE!$C44,"=3")</f>
        <v>0</v>
      </c>
      <c r="F28" s="54">
        <f>COUNTIF(TE!$C44,"=4")</f>
        <v>0</v>
      </c>
      <c r="G28" s="55">
        <f>COUNTIF(TE!$C44,"=5")</f>
        <v>0</v>
      </c>
      <c r="H28" s="63">
        <f t="array" ref="H28">IF(SUM(C28:G28)=0,,SUM((C28:G28)*($C$18:$G$18))/SUM(C28:G28))</f>
        <v>0</v>
      </c>
    </row>
    <row r="29" spans="2:8" x14ac:dyDescent="0.2">
      <c r="B29" s="52">
        <v>3</v>
      </c>
      <c r="C29" s="53">
        <f>COUNTIF(TE!$C45,"=1")</f>
        <v>0</v>
      </c>
      <c r="D29" s="54">
        <f>COUNTIF(TE!$C45,"=2")</f>
        <v>0</v>
      </c>
      <c r="E29" s="54">
        <f>COUNTIF(TE!$C45,"=3")</f>
        <v>0</v>
      </c>
      <c r="F29" s="54">
        <f>COUNTIF(TE!$C45,"=4")</f>
        <v>0</v>
      </c>
      <c r="G29" s="55">
        <f>COUNTIF(TE!$C45,"=5")</f>
        <v>0</v>
      </c>
      <c r="H29" s="63">
        <f t="array" ref="H29">IF(SUM(C29:G29)=0,,SUM((C29:G29)*($C$18:$G$18))/SUM(C29:G29))</f>
        <v>0</v>
      </c>
    </row>
    <row r="30" spans="2:8" x14ac:dyDescent="0.2">
      <c r="B30" s="52">
        <v>4</v>
      </c>
      <c r="C30" s="53">
        <f>COUNTIF(TE!$C46,"=1")</f>
        <v>0</v>
      </c>
      <c r="D30" s="54">
        <f>COUNTIF(TE!$C46,"=2")</f>
        <v>0</v>
      </c>
      <c r="E30" s="54">
        <f>COUNTIF(TE!$C46,"=3")</f>
        <v>0</v>
      </c>
      <c r="F30" s="54">
        <f>COUNTIF(TE!$C46,"=4")</f>
        <v>0</v>
      </c>
      <c r="G30" s="55">
        <f>COUNTIF(TE!$C46,"=5")</f>
        <v>0</v>
      </c>
      <c r="H30" s="63">
        <f t="array" ref="H30">IF(SUM(C30:G30)=0,,SUM((C30:G30)*($C$18:$G$18))/SUM(C30:G30))</f>
        <v>0</v>
      </c>
    </row>
    <row r="31" spans="2:8" ht="13.5" thickBot="1" x14ac:dyDescent="0.25">
      <c r="B31" s="52">
        <v>5</v>
      </c>
      <c r="C31" s="53">
        <f>COUNTIF(TE!$C47,"=1")</f>
        <v>0</v>
      </c>
      <c r="D31" s="54">
        <f>COUNTIF(TE!$C47,"=2")</f>
        <v>0</v>
      </c>
      <c r="E31" s="54">
        <f>COUNTIF(TE!$C47,"=3")</f>
        <v>0</v>
      </c>
      <c r="F31" s="54">
        <f>COUNTIF(TE!$C47,"=4")</f>
        <v>0</v>
      </c>
      <c r="G31" s="55">
        <f>COUNTIF(TE!$C47,"=5")</f>
        <v>0</v>
      </c>
      <c r="H31" s="63">
        <f t="array" ref="H31">IF(SUM(C31:G31)=0,,SUM((C31:G31)*($C$18:$G$18))/SUM(C31:G31))</f>
        <v>0</v>
      </c>
    </row>
    <row r="32" spans="2:8" ht="13.5" thickBot="1" x14ac:dyDescent="0.25">
      <c r="B32" s="57" t="s">
        <v>33</v>
      </c>
      <c r="C32" s="59">
        <f>SUM(C27:C31)*C$18</f>
        <v>0</v>
      </c>
      <c r="D32" s="60">
        <f>SUM(D27:D31)*D$18</f>
        <v>0</v>
      </c>
      <c r="E32" s="60">
        <f>SUM(E27:E31)*E$18</f>
        <v>0</v>
      </c>
      <c r="F32" s="60">
        <f>SUM(F27:F31)*F$18</f>
        <v>0</v>
      </c>
      <c r="G32" s="61">
        <f>SUM(G27:G31)*G$18</f>
        <v>0</v>
      </c>
      <c r="H32" s="65">
        <f>SUM(H27:H31)*4</f>
        <v>0</v>
      </c>
    </row>
    <row r="34" spans="2:8" ht="13.5" thickBot="1" x14ac:dyDescent="0.25">
      <c r="B34" t="s">
        <v>78</v>
      </c>
      <c r="D34" s="88">
        <f>TE!O41</f>
        <v>0.3</v>
      </c>
    </row>
    <row r="35" spans="2:8" x14ac:dyDescent="0.2">
      <c r="B35" s="58">
        <v>1</v>
      </c>
      <c r="C35" s="192">
        <f>COUNTIF(TE!$K43:$N43,"=1")</f>
        <v>0</v>
      </c>
      <c r="D35" s="193">
        <f>COUNTIF(TE!$K43:$N43,"=2")</f>
        <v>0</v>
      </c>
      <c r="E35" s="193">
        <f>COUNTIF(TE!$K43:$N43,"=3")</f>
        <v>0</v>
      </c>
      <c r="F35" s="193">
        <f>COUNTIF(TE!$K43:$N43,"=4")</f>
        <v>0</v>
      </c>
      <c r="G35" s="194">
        <f>COUNTIF(TE!$K43:$N43,"=5")</f>
        <v>0</v>
      </c>
      <c r="H35" s="66">
        <f t="array" ref="H35">IF(SUM(C35:G35)=0,,SUM((C35:G35)*($C$18:$G$18))/SUM(C35:G35))</f>
        <v>0</v>
      </c>
    </row>
    <row r="36" spans="2:8" x14ac:dyDescent="0.2">
      <c r="B36" s="52">
        <v>2</v>
      </c>
      <c r="C36" s="53">
        <f>COUNTIF(TE!$K44:$N44,"=1")</f>
        <v>0</v>
      </c>
      <c r="D36" s="54">
        <f>COUNTIF(TE!$K44:$N44,"=2")</f>
        <v>0</v>
      </c>
      <c r="E36" s="54">
        <f>COUNTIF(TE!$K44:$N44,"=3")</f>
        <v>0</v>
      </c>
      <c r="F36" s="54">
        <f>COUNTIF(TE!$K44:$N44,"=4")</f>
        <v>0</v>
      </c>
      <c r="G36" s="55">
        <f>COUNTIF(TE!$K44:$N44,"=5")</f>
        <v>0</v>
      </c>
      <c r="H36" s="63">
        <f t="array" ref="H36">IF(SUM(C36:G36)=0,,SUM((C36:G36)*($C$18:$G$18))/SUM(C36:G36))</f>
        <v>0</v>
      </c>
    </row>
    <row r="37" spans="2:8" x14ac:dyDescent="0.2">
      <c r="B37" s="52">
        <v>3</v>
      </c>
      <c r="C37" s="53">
        <f>COUNTIF(TE!$K45:$N45,"=1")</f>
        <v>0</v>
      </c>
      <c r="D37" s="54">
        <f>COUNTIF(TE!$K45:$N45,"=2")</f>
        <v>0</v>
      </c>
      <c r="E37" s="54">
        <f>COUNTIF(TE!$K45:$N45,"=3")</f>
        <v>0</v>
      </c>
      <c r="F37" s="54">
        <f>COUNTIF(TE!$K45:$N45,"=4")</f>
        <v>0</v>
      </c>
      <c r="G37" s="55">
        <f>COUNTIF(TE!$K45:$N45,"=5")</f>
        <v>0</v>
      </c>
      <c r="H37" s="63">
        <f t="array" ref="H37">IF(SUM(C37:G37)=0,,SUM((C37:G37)*($C$18:$G$18))/SUM(C37:G37))</f>
        <v>0</v>
      </c>
    </row>
    <row r="38" spans="2:8" x14ac:dyDescent="0.2">
      <c r="B38" s="52">
        <v>4</v>
      </c>
      <c r="C38" s="53">
        <f>COUNTIF(TE!$K46:$N46,"=1")</f>
        <v>0</v>
      </c>
      <c r="D38" s="54">
        <f>COUNTIF(TE!$K46:$N46,"=2")</f>
        <v>0</v>
      </c>
      <c r="E38" s="54">
        <f>COUNTIF(TE!$K46:$N46,"=3")</f>
        <v>0</v>
      </c>
      <c r="F38" s="54">
        <f>COUNTIF(TE!$K46:$N46,"=4")</f>
        <v>0</v>
      </c>
      <c r="G38" s="55">
        <f>COUNTIF(TE!$K46:$N46,"=5")</f>
        <v>0</v>
      </c>
      <c r="H38" s="63">
        <f t="array" ref="H38">IF(SUM(C38:G38)=0,,SUM((C38:G38)*($C$18:$G$18))/SUM(C38:G38))</f>
        <v>0</v>
      </c>
    </row>
    <row r="39" spans="2:8" ht="13.5" thickBot="1" x14ac:dyDescent="0.25">
      <c r="B39" s="56">
        <v>5</v>
      </c>
      <c r="C39" s="190">
        <f>COUNTIF(TE!$K47:$N47,"=1")</f>
        <v>0</v>
      </c>
      <c r="D39" s="13">
        <f>COUNTIF(TE!$K47:$N47,"=2")</f>
        <v>0</v>
      </c>
      <c r="E39" s="13">
        <f>COUNTIF(TE!$K47:$N47,"=3")</f>
        <v>0</v>
      </c>
      <c r="F39" s="13">
        <f>COUNTIF(TE!$K47:$N47,"=4")</f>
        <v>0</v>
      </c>
      <c r="G39" s="191">
        <f>COUNTIF(TE!$K47:$N47,"=5")</f>
        <v>0</v>
      </c>
      <c r="H39" s="64">
        <f t="array" ref="H39">IF(SUM(C39:G39)=0,,SUM((C39:G39)*($C$18:$G$18))/SUM(C39:G39))</f>
        <v>0</v>
      </c>
    </row>
    <row r="40" spans="2:8" ht="13.5" thickBot="1" x14ac:dyDescent="0.25">
      <c r="B40" s="57" t="s">
        <v>33</v>
      </c>
      <c r="C40" s="59">
        <f>SUM(C35:C39)*C$18</f>
        <v>0</v>
      </c>
      <c r="D40" s="60">
        <f>SUM(D35:D39)*D$18</f>
        <v>0</v>
      </c>
      <c r="E40" s="60">
        <f>SUM(E35:E39)*E$18</f>
        <v>0</v>
      </c>
      <c r="F40" s="60">
        <f>SUM(F35:F39)*F$18</f>
        <v>0</v>
      </c>
      <c r="G40" s="61">
        <f>SUM(G35:G39)*G$18</f>
        <v>0</v>
      </c>
      <c r="H40" s="65">
        <f>SUM(H35:H39)*4</f>
        <v>0</v>
      </c>
    </row>
    <row r="42" spans="2:8" ht="13.5" thickBot="1" x14ac:dyDescent="0.25">
      <c r="B42" t="s">
        <v>79</v>
      </c>
      <c r="D42" s="88">
        <f>TE!AC40</f>
        <v>0.3</v>
      </c>
    </row>
    <row r="43" spans="2:8" x14ac:dyDescent="0.2">
      <c r="B43" s="58">
        <v>1</v>
      </c>
      <c r="C43" s="192">
        <f>COUNTIF(TE!$U43:$AF43,"=1")</f>
        <v>0</v>
      </c>
      <c r="D43" s="193">
        <f>COUNTIF(TE!$U43:$AF43,"=2")</f>
        <v>0</v>
      </c>
      <c r="E43" s="193">
        <f>COUNTIF(TE!$U43:$AF43,"=3")</f>
        <v>0</v>
      </c>
      <c r="F43" s="193">
        <f>COUNTIF(TE!$U43:$AF43,"=4")</f>
        <v>0</v>
      </c>
      <c r="G43" s="194">
        <f>COUNTIF(TE!$U43:$AF43,"=5")</f>
        <v>0</v>
      </c>
      <c r="H43" s="66">
        <f t="array" ref="H43">IF(SUM(C43:G43)=0,,SUM((C43:G43)*($C$18:$G$18))/SUM(C43:G43))</f>
        <v>0</v>
      </c>
    </row>
    <row r="44" spans="2:8" x14ac:dyDescent="0.2">
      <c r="B44" s="52">
        <v>2</v>
      </c>
      <c r="C44" s="53">
        <f>COUNTIF(TE!$U44:$AF44,"=1")</f>
        <v>0</v>
      </c>
      <c r="D44" s="54">
        <f>COUNTIF(TE!$U44:$AF44,"=2")</f>
        <v>0</v>
      </c>
      <c r="E44" s="54">
        <f>COUNTIF(TE!$U44:$AF44,"=3")</f>
        <v>0</v>
      </c>
      <c r="F44" s="54">
        <f>COUNTIF(TE!$U44:$AF44,"=4")</f>
        <v>0</v>
      </c>
      <c r="G44" s="55">
        <f>COUNTIF(TE!$U44:$AF44,"=5")</f>
        <v>0</v>
      </c>
      <c r="H44" s="63">
        <f t="array" ref="H44">IF(SUM(C44:G44)=0,,SUM((C44:G44)*($C$18:$G$18))/SUM(C44:G44))</f>
        <v>0</v>
      </c>
    </row>
    <row r="45" spans="2:8" x14ac:dyDescent="0.2">
      <c r="B45" s="52">
        <v>3</v>
      </c>
      <c r="C45" s="53">
        <f>COUNTIF(TE!$U45:$AF45,"=1")</f>
        <v>0</v>
      </c>
      <c r="D45" s="54">
        <f>COUNTIF(TE!$U45:$AF45,"=2")</f>
        <v>0</v>
      </c>
      <c r="E45" s="54">
        <f>COUNTIF(TE!$U45:$AF45,"=3")</f>
        <v>0</v>
      </c>
      <c r="F45" s="54">
        <f>COUNTIF(TE!$U45:$AF45,"=4")</f>
        <v>0</v>
      </c>
      <c r="G45" s="55">
        <f>COUNTIF(TE!$U45:$AF45,"=5")</f>
        <v>0</v>
      </c>
      <c r="H45" s="63">
        <f t="array" ref="H45">IF(SUM(C45:G45)=0,,SUM((C45:G45)*($C$18:$G$18))/SUM(C45:G45))</f>
        <v>0</v>
      </c>
    </row>
    <row r="46" spans="2:8" x14ac:dyDescent="0.2">
      <c r="B46" s="52">
        <v>4</v>
      </c>
      <c r="C46" s="53">
        <f>COUNTIF(TE!$U46:$AF46,"=1")</f>
        <v>0</v>
      </c>
      <c r="D46" s="54">
        <f>COUNTIF(TE!$U46:$AF46,"=2")</f>
        <v>0</v>
      </c>
      <c r="E46" s="54">
        <f>COUNTIF(TE!$U46:$AF46,"=3")</f>
        <v>0</v>
      </c>
      <c r="F46" s="54">
        <f>COUNTIF(TE!$U46:$AF46,"=4")</f>
        <v>0</v>
      </c>
      <c r="G46" s="55">
        <f>COUNTIF(TE!$U46:$AF46,"=5")</f>
        <v>0</v>
      </c>
      <c r="H46" s="63">
        <f t="array" ref="H46">IF(SUM(C46:G46)=0,,SUM((C46:G46)*($C$18:$G$18))/SUM(C46:G46))</f>
        <v>0</v>
      </c>
    </row>
    <row r="47" spans="2:8" ht="13.5" thickBot="1" x14ac:dyDescent="0.25">
      <c r="B47" s="52">
        <v>5</v>
      </c>
      <c r="C47" s="53">
        <f>COUNTIF(TE!$U47:$AF47,"=1")</f>
        <v>0</v>
      </c>
      <c r="D47" s="54">
        <f>COUNTIF(TE!$U47:$AF47,"=2")</f>
        <v>0</v>
      </c>
      <c r="E47" s="54">
        <f>COUNTIF(TE!$U47:$AF47,"=3")</f>
        <v>0</v>
      </c>
      <c r="F47" s="54">
        <f>COUNTIF(TE!$U47:$AF47,"=4")</f>
        <v>0</v>
      </c>
      <c r="G47" s="55">
        <f>COUNTIF(TE!$U47:$AF47,"=5")</f>
        <v>0</v>
      </c>
      <c r="H47" s="63">
        <f t="array" ref="H47">IF(SUM(C47:G47)=0,,SUM((C47:G47)*($C$18:$G$18))/SUM(C47:G47))</f>
        <v>0</v>
      </c>
    </row>
    <row r="48" spans="2:8" ht="13.5" thickBot="1" x14ac:dyDescent="0.25">
      <c r="B48" s="57" t="s">
        <v>33</v>
      </c>
      <c r="C48" s="59">
        <f>SUM(C43:C47)*C$18</f>
        <v>0</v>
      </c>
      <c r="D48" s="60">
        <f>SUM(D43:D47)*D$18</f>
        <v>0</v>
      </c>
      <c r="E48" s="60">
        <f>SUM(E43:E47)*E$18</f>
        <v>0</v>
      </c>
      <c r="F48" s="60">
        <f>SUM(F43:F47)*F$18</f>
        <v>0</v>
      </c>
      <c r="G48" s="61">
        <f>SUM(G43:G47)*G$18</f>
        <v>0</v>
      </c>
      <c r="H48" s="65">
        <f>SUM(H43:H47)*4</f>
        <v>0</v>
      </c>
    </row>
    <row r="54" spans="6:8" x14ac:dyDescent="0.2">
      <c r="F54" s="438" t="str">
        <f>TI!DZ75</f>
        <v>DANIEL E. MALIGAT, JR., DIT</v>
      </c>
      <c r="G54" s="438"/>
      <c r="H54" s="438"/>
    </row>
    <row r="55" spans="6:8" x14ac:dyDescent="0.2">
      <c r="F55" s="453" t="str">
        <f>TI!DZ76</f>
        <v>DEAN</v>
      </c>
      <c r="G55" s="453"/>
      <c r="H55" s="453"/>
    </row>
  </sheetData>
  <sheetProtection password="CA99" sheet="1" objects="1" scenarios="1"/>
  <mergeCells count="10">
    <mergeCell ref="F54:H54"/>
    <mergeCell ref="F55:H55"/>
    <mergeCell ref="C17:G17"/>
    <mergeCell ref="B4:H4"/>
    <mergeCell ref="B5:H5"/>
    <mergeCell ref="B7:H7"/>
    <mergeCell ref="B8:H8"/>
    <mergeCell ref="E9:G9"/>
    <mergeCell ref="C12:F12"/>
    <mergeCell ref="C13:F13"/>
  </mergeCells>
  <phoneticPr fontId="4" type="noConversion"/>
  <printOptions horizontalCentered="1"/>
  <pageMargins left="0.75" right="0.5" top="0.75" bottom="1" header="0.5" footer="0.5"/>
  <pageSetup paperSize="291" orientation="portrait" blackAndWhite="1" horizontalDpi="4294967295" verticalDpi="7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B1:H55"/>
  <sheetViews>
    <sheetView showZeros="0" zoomScale="75" workbookViewId="0">
      <selection activeCell="A20" sqref="A20"/>
    </sheetView>
  </sheetViews>
  <sheetFormatPr defaultRowHeight="12.75" x14ac:dyDescent="0.2"/>
  <cols>
    <col min="1" max="1" width="1.85546875" customWidth="1"/>
    <col min="2" max="2" width="20.140625" customWidth="1"/>
    <col min="8" max="8" width="10.140625" bestFit="1" customWidth="1"/>
  </cols>
  <sheetData>
    <row r="1" spans="2:8" x14ac:dyDescent="0.2">
      <c r="B1" t="s">
        <v>74</v>
      </c>
    </row>
    <row r="4" spans="2:8" x14ac:dyDescent="0.2">
      <c r="B4" s="353" t="s">
        <v>1</v>
      </c>
      <c r="C4" s="353"/>
      <c r="D4" s="353"/>
      <c r="E4" s="353"/>
      <c r="F4" s="353"/>
      <c r="G4" s="353"/>
      <c r="H4" s="353"/>
    </row>
    <row r="5" spans="2:8" x14ac:dyDescent="0.2">
      <c r="B5" s="353" t="s">
        <v>2</v>
      </c>
      <c r="C5" s="353"/>
      <c r="D5" s="353"/>
      <c r="E5" s="353"/>
      <c r="F5" s="353"/>
      <c r="G5" s="353"/>
      <c r="H5" s="353"/>
    </row>
    <row r="7" spans="2:8" x14ac:dyDescent="0.2">
      <c r="B7" s="353" t="s">
        <v>28</v>
      </c>
      <c r="C7" s="353"/>
      <c r="D7" s="353"/>
      <c r="E7" s="353"/>
      <c r="F7" s="353"/>
      <c r="G7" s="353"/>
      <c r="H7" s="353"/>
    </row>
    <row r="8" spans="2:8" x14ac:dyDescent="0.2">
      <c r="B8" s="353" t="s">
        <v>75</v>
      </c>
      <c r="C8" s="353"/>
      <c r="D8" s="353"/>
      <c r="E8" s="353"/>
      <c r="F8" s="353"/>
      <c r="G8" s="353"/>
      <c r="H8" s="353"/>
    </row>
    <row r="9" spans="2:8" x14ac:dyDescent="0.2">
      <c r="C9" s="1" t="s">
        <v>30</v>
      </c>
      <c r="E9" s="454"/>
      <c r="F9" s="454"/>
      <c r="G9" s="454"/>
    </row>
    <row r="12" spans="2:8" x14ac:dyDescent="0.2">
      <c r="B12" t="s">
        <v>41</v>
      </c>
      <c r="C12" s="438" t="str">
        <f>TI!DC6</f>
        <v xml:space="preserve">,  </v>
      </c>
      <c r="D12" s="438"/>
      <c r="E12" s="438"/>
      <c r="F12" s="438"/>
    </row>
    <row r="13" spans="2:8" x14ac:dyDescent="0.2">
      <c r="B13" t="s">
        <v>42</v>
      </c>
      <c r="C13" s="408">
        <f>TI!MG6</f>
        <v>0</v>
      </c>
      <c r="D13" s="408"/>
      <c r="E13" s="408"/>
      <c r="F13" s="408"/>
    </row>
    <row r="15" spans="2:8" x14ac:dyDescent="0.2">
      <c r="B15" s="87" t="s">
        <v>62</v>
      </c>
    </row>
    <row r="16" spans="2:8" ht="13.5" thickBot="1" x14ac:dyDescent="0.25">
      <c r="B16" s="44" t="s">
        <v>76</v>
      </c>
      <c r="D16" s="88">
        <f>'02B-Res'!D16</f>
        <v>0.2</v>
      </c>
    </row>
    <row r="17" spans="2:8" x14ac:dyDescent="0.2">
      <c r="B17" s="45" t="s">
        <v>31</v>
      </c>
      <c r="C17" s="485" t="s">
        <v>36</v>
      </c>
      <c r="D17" s="486"/>
      <c r="E17" s="486"/>
      <c r="F17" s="486"/>
      <c r="G17" s="487"/>
      <c r="H17" s="46" t="s">
        <v>34</v>
      </c>
    </row>
    <row r="18" spans="2:8" ht="13.5" thickBot="1" x14ac:dyDescent="0.25">
      <c r="B18" s="35" t="s">
        <v>32</v>
      </c>
      <c r="C18" s="47">
        <v>1</v>
      </c>
      <c r="D18" s="48">
        <v>2</v>
      </c>
      <c r="E18" s="48">
        <v>3</v>
      </c>
      <c r="F18" s="48">
        <v>4</v>
      </c>
      <c r="G18" s="49">
        <v>5</v>
      </c>
      <c r="H18" s="50" t="s">
        <v>35</v>
      </c>
    </row>
    <row r="19" spans="2:8" x14ac:dyDescent="0.2">
      <c r="B19" s="51">
        <v>1</v>
      </c>
      <c r="C19" s="187">
        <f>COUNTIF(TP!$E12:$BB12,"=1")+COUNTIF(TP!$E19:$BB19,"=1")+COUNTIF(TP!$E26:$BB26,"=1")+COUNTIF(TP!$E33:$BB33,"=1")</f>
        <v>0</v>
      </c>
      <c r="D19" s="188">
        <f>COUNTIF(TP!$E12:$BB12,"=2")+COUNTIF(TP!$E19:$BB19,"=2")+COUNTIF(TP!$E26:$BB26,"=2")+COUNTIF(TP!$E33:$BB33,"=2")</f>
        <v>0</v>
      </c>
      <c r="E19" s="188">
        <f>COUNTIF(TP!$E12:$BB12,"=3")+COUNTIF(TP!$E19:$BB19,"=3")+COUNTIF(TP!$E26:$BB26,"=3")+COUNTIF(TP!$E33:$BB33,"=3")</f>
        <v>0</v>
      </c>
      <c r="F19" s="188">
        <f>COUNTIF(TP!$E12:$BB12,"=4")+COUNTIF(TP!$E19:$BB19,"=4")+COUNTIF(TP!$E26:$BB26,"=4")+COUNTIF(TP!$E33:$BB33,"=4")</f>
        <v>0</v>
      </c>
      <c r="G19" s="189">
        <f>COUNTIF(TP!$E12:$BB12,"=5")+COUNTIF(TP!$E19:$BB19,"=5")+COUNTIF(TP!$E26:$BB26,"=5")+COUNTIF(TP!$E33:$BB33,"=5")</f>
        <v>0</v>
      </c>
      <c r="H19" s="62">
        <f t="array" ref="H19">IF(SUM(C19:G19)=0,,SUM((C19:G19)*($C$18:$G$18))/SUM(C19:G19))</f>
        <v>0</v>
      </c>
    </row>
    <row r="20" spans="2:8" x14ac:dyDescent="0.2">
      <c r="B20" s="52">
        <v>2</v>
      </c>
      <c r="C20" s="53">
        <f>COUNTIF(TP!$E13:$BB13,"=1")+COUNTIF(TP!$E20:$BB20,"=1")+COUNTIF(TP!$E27:$BB27,"=1")+COUNTIF(TP!$E34:$BB34,"=1")</f>
        <v>0</v>
      </c>
      <c r="D20" s="54">
        <f>COUNTIF(TP!$E13:$BB13,"=2")+COUNTIF(TP!$E20:$BB20,"=2")+COUNTIF(TP!$E27:$BB27,"=2")+COUNTIF(TP!$E34:$BB34,"=2")</f>
        <v>0</v>
      </c>
      <c r="E20" s="54">
        <f>COUNTIF(TP!$E13:$BB13,"=3")+COUNTIF(TP!$E20:$BB20,"=3")+COUNTIF(TP!$E27:$BB27,"=3")+COUNTIF(TP!$E34:$BB34,"=3")</f>
        <v>0</v>
      </c>
      <c r="F20" s="54">
        <f>COUNTIF(TP!$E13:$BB13,"=4")+COUNTIF(TP!$E20:$BB20,"=4")+COUNTIF(TP!$E27:$BB27,"=4")+COUNTIF(TP!$E34:$BB34,"=4")</f>
        <v>0</v>
      </c>
      <c r="G20" s="55">
        <f>COUNTIF(TP!$E13:$BB13,"=5")+COUNTIF(TP!$E20:$BB20,"=5")+COUNTIF(TP!$E27:$BB27,"=5")+COUNTIF(TP!$E34:$BB34,"=5")</f>
        <v>0</v>
      </c>
      <c r="H20" s="63">
        <f t="array" ref="H20">IF(SUM(C20:G20)=0,,SUM((C20:G20)*($C$18:$G$18))/SUM(C20:G20))</f>
        <v>0</v>
      </c>
    </row>
    <row r="21" spans="2:8" x14ac:dyDescent="0.2">
      <c r="B21" s="52">
        <v>3</v>
      </c>
      <c r="C21" s="53">
        <f>COUNTIF(TP!$E14:$BB14,"=1")+COUNTIF(TP!$E21:$BB21,"=1")+COUNTIF(TP!$E28:$BB28,"=1")+COUNTIF(TP!$E35:$BB35,"=1")</f>
        <v>0</v>
      </c>
      <c r="D21" s="54">
        <f>COUNTIF(TP!$E14:$BB14,"=2")+COUNTIF(TP!$E21:$BB21,"=2")+COUNTIF(TP!$E28:$BB28,"=2")+COUNTIF(TP!$E35:$BB35,"=2")</f>
        <v>0</v>
      </c>
      <c r="E21" s="54">
        <f>COUNTIF(TP!$E14:$BB14,"=3")+COUNTIF(TP!$E21:$BB21,"=3")+COUNTIF(TP!$E28:$BB28,"=3")+COUNTIF(TP!$E35:$BB35,"=3")</f>
        <v>0</v>
      </c>
      <c r="F21" s="54">
        <f>COUNTIF(TP!$E14:$BB14,"=4")+COUNTIF(TP!$E21:$BB21,"=4")+COUNTIF(TP!$E28:$BB28,"=4")+COUNTIF(TP!$E35:$BB35,"=4")</f>
        <v>0</v>
      </c>
      <c r="G21" s="55">
        <f>COUNTIF(TP!$E14:$BB14,"=5")+COUNTIF(TP!$E21:$BB21,"=5")+COUNTIF(TP!$E28:$BB28,"=5")+COUNTIF(TP!$E35:$BB35,"=5")</f>
        <v>0</v>
      </c>
      <c r="H21" s="63">
        <f t="array" ref="H21">IF(SUM(C21:G21)=0,,SUM((C21:G21)*($C$18:$G$18))/SUM(C21:G21))</f>
        <v>0</v>
      </c>
    </row>
    <row r="22" spans="2:8" x14ac:dyDescent="0.2">
      <c r="B22" s="52">
        <v>4</v>
      </c>
      <c r="C22" s="53">
        <f>COUNTIF(TP!$E15:$BB15,"=1")+COUNTIF(TP!$E22:$BB22,"=1")+COUNTIF(TP!$E29:$BB29,"=1")+COUNTIF(TP!$E36:$BB36,"=1")</f>
        <v>0</v>
      </c>
      <c r="D22" s="54">
        <f>COUNTIF(TP!$E15:$BB15,"=2")+COUNTIF(TP!$E22:$BB22,"=2")+COUNTIF(TP!$E29:$BB29,"=2")+COUNTIF(TP!$E36:$BB36,"=2")</f>
        <v>0</v>
      </c>
      <c r="E22" s="54">
        <f>COUNTIF(TP!$E15:$BB15,"=3")+COUNTIF(TP!$E22:$BB22,"=3")+COUNTIF(TP!$E29:$BB29,"=3")+COUNTIF(TP!$E36:$BB36,"=3")</f>
        <v>0</v>
      </c>
      <c r="F22" s="54">
        <f>COUNTIF(TP!$E15:$BB15,"=4")+COUNTIF(TP!$E22:$BB22,"=4")+COUNTIF(TP!$E29:$BB29,"=4")+COUNTIF(TP!$E36:$BB36,"=4")</f>
        <v>0</v>
      </c>
      <c r="G22" s="55">
        <f>COUNTIF(TP!$E15:$BB15,"=5")+COUNTIF(TP!$E22:$BB22,"=5")+COUNTIF(TP!$E29:$BB29,"=5")+COUNTIF(TP!$E36:$BB36,"=5")</f>
        <v>0</v>
      </c>
      <c r="H22" s="63">
        <f t="array" ref="H22">IF(SUM(C22:G22)=0,,SUM((C22:G22)*($C$18:$G$18))/SUM(C22:G22))</f>
        <v>0</v>
      </c>
    </row>
    <row r="23" spans="2:8" ht="13.5" thickBot="1" x14ac:dyDescent="0.25">
      <c r="B23" s="56">
        <v>5</v>
      </c>
      <c r="C23" s="190">
        <f>COUNTIF(TP!$E16:$BB16,"=1")+COUNTIF(TP!$E23:$BB23,"=1")+COUNTIF(TP!$E30:$BB30,"=1")+COUNTIF(TP!$E37:$BB37,"=1")</f>
        <v>0</v>
      </c>
      <c r="D23" s="13">
        <f>COUNTIF(TP!$E16:$BB16,"=2")+COUNTIF(TP!$E23:$BB23,"=2")+COUNTIF(TP!$E30:$BB30,"=2")+COUNTIF(TP!$E37:$BB37,"=2")</f>
        <v>0</v>
      </c>
      <c r="E23" s="13">
        <f>COUNTIF(TP!$E16:$BB16,"=3")+COUNTIF(TP!$E23:$BB23,"=3")+COUNTIF(TP!$E30:$BB30,"=3")+COUNTIF(TP!$E37:$BB37,"=3")</f>
        <v>0</v>
      </c>
      <c r="F23" s="13">
        <f>COUNTIF(TP!$E16:$BB16,"=4")+COUNTIF(TP!$E23:$BB23,"=4")+COUNTIF(TP!$E30:$BB30,"=4")+COUNTIF(TP!$E37:$BB37,"=4")</f>
        <v>0</v>
      </c>
      <c r="G23" s="191">
        <f>COUNTIF(TP!$E16:$BB16,"=5")+COUNTIF(TP!$E23:$BB23,"=5")+COUNTIF(TP!$E30:$BB30,"=5")+COUNTIF(TP!$E37:$BB37,"=5")</f>
        <v>0</v>
      </c>
      <c r="H23" s="64">
        <f t="array" ref="H23">IF(SUM(C23:G23)=0,,SUM((C23:G23)*($C$18:$G$18))/SUM(C23:G23))</f>
        <v>0</v>
      </c>
    </row>
    <row r="24" spans="2:8" ht="13.5" thickBot="1" x14ac:dyDescent="0.25">
      <c r="B24" s="57" t="s">
        <v>33</v>
      </c>
      <c r="C24" s="59">
        <f>SUM(C19:C23)*C$18</f>
        <v>0</v>
      </c>
      <c r="D24" s="60">
        <f>SUM(D19:D23)*D$18</f>
        <v>0</v>
      </c>
      <c r="E24" s="60">
        <f>SUM(E19:E23)*E$18</f>
        <v>0</v>
      </c>
      <c r="F24" s="60">
        <f>SUM(F19:F23)*F$18</f>
        <v>0</v>
      </c>
      <c r="G24" s="61">
        <f>SUM(G19:G23)*G$18</f>
        <v>0</v>
      </c>
      <c r="H24" s="65">
        <f>SUM(H19:H23)*4</f>
        <v>0</v>
      </c>
    </row>
    <row r="26" spans="2:8" ht="13.5" thickBot="1" x14ac:dyDescent="0.25">
      <c r="B26" t="s">
        <v>77</v>
      </c>
      <c r="D26" s="88">
        <f>'02B-Res'!D26</f>
        <v>0.2</v>
      </c>
    </row>
    <row r="27" spans="2:8" x14ac:dyDescent="0.2">
      <c r="B27" s="58">
        <v>1</v>
      </c>
      <c r="C27" s="192">
        <f>COUNTIF(TP!$C43,"=1")</f>
        <v>0</v>
      </c>
      <c r="D27" s="193">
        <f>COUNTIF(TP!$C43,"=2")</f>
        <v>0</v>
      </c>
      <c r="E27" s="193">
        <f>COUNTIF(TP!$C43,"=3")</f>
        <v>0</v>
      </c>
      <c r="F27" s="193">
        <f>COUNTIF(TP!$C43,"=4")</f>
        <v>0</v>
      </c>
      <c r="G27" s="194">
        <f>COUNTIF(TP!$C43,"=5")</f>
        <v>0</v>
      </c>
      <c r="H27" s="66">
        <f t="array" ref="H27">IF(SUM(C27:G27)=0,,SUM((C27:G27)*($C$18:$G$18))/SUM(C27:G27))</f>
        <v>0</v>
      </c>
    </row>
    <row r="28" spans="2:8" x14ac:dyDescent="0.2">
      <c r="B28" s="52">
        <v>2</v>
      </c>
      <c r="C28" s="53">
        <f>COUNTIF(TP!$C44,"=1")</f>
        <v>0</v>
      </c>
      <c r="D28" s="54">
        <f>COUNTIF(TP!$C44,"=2")</f>
        <v>0</v>
      </c>
      <c r="E28" s="54">
        <f>COUNTIF(TP!$C44,"=3")</f>
        <v>0</v>
      </c>
      <c r="F28" s="54">
        <f>COUNTIF(TP!$C44,"=4")</f>
        <v>0</v>
      </c>
      <c r="G28" s="55">
        <f>COUNTIF(TP!$C44,"=5")</f>
        <v>0</v>
      </c>
      <c r="H28" s="63">
        <f t="array" ref="H28">IF(SUM(C28:G28)=0,,SUM((C28:G28)*($C$18:$G$18))/SUM(C28:G28))</f>
        <v>0</v>
      </c>
    </row>
    <row r="29" spans="2:8" x14ac:dyDescent="0.2">
      <c r="B29" s="52">
        <v>3</v>
      </c>
      <c r="C29" s="53">
        <f>COUNTIF(TP!$C45,"=1")</f>
        <v>0</v>
      </c>
      <c r="D29" s="54">
        <f>COUNTIF(TP!$C45,"=2")</f>
        <v>0</v>
      </c>
      <c r="E29" s="54">
        <f>COUNTIF(TP!$C45,"=3")</f>
        <v>0</v>
      </c>
      <c r="F29" s="54">
        <f>COUNTIF(TP!$C45,"=4")</f>
        <v>0</v>
      </c>
      <c r="G29" s="55">
        <f>COUNTIF(TP!$C45,"=5")</f>
        <v>0</v>
      </c>
      <c r="H29" s="63">
        <f t="array" ref="H29">IF(SUM(C29:G29)=0,,SUM((C29:G29)*($C$18:$G$18))/SUM(C29:G29))</f>
        <v>0</v>
      </c>
    </row>
    <row r="30" spans="2:8" x14ac:dyDescent="0.2">
      <c r="B30" s="52">
        <v>4</v>
      </c>
      <c r="C30" s="53">
        <f>COUNTIF(TP!$C46,"=1")</f>
        <v>0</v>
      </c>
      <c r="D30" s="54">
        <f>COUNTIF(TP!$C46,"=2")</f>
        <v>0</v>
      </c>
      <c r="E30" s="54">
        <f>COUNTIF(TP!$C46,"=3")</f>
        <v>0</v>
      </c>
      <c r="F30" s="54">
        <f>COUNTIF(TP!$C46,"=4")</f>
        <v>0</v>
      </c>
      <c r="G30" s="55">
        <f>COUNTIF(TP!$C46,"=5")</f>
        <v>0</v>
      </c>
      <c r="H30" s="63">
        <f t="array" ref="H30">IF(SUM(C30:G30)=0,,SUM((C30:G30)*($C$18:$G$18))/SUM(C30:G30))</f>
        <v>0</v>
      </c>
    </row>
    <row r="31" spans="2:8" ht="13.5" thickBot="1" x14ac:dyDescent="0.25">
      <c r="B31" s="52">
        <v>5</v>
      </c>
      <c r="C31" s="53">
        <f>COUNTIF(TP!$C47,"=1")</f>
        <v>0</v>
      </c>
      <c r="D31" s="54">
        <f>COUNTIF(TP!$C47,"=2")</f>
        <v>0</v>
      </c>
      <c r="E31" s="54">
        <f>COUNTIF(TP!$C47,"=3")</f>
        <v>0</v>
      </c>
      <c r="F31" s="54">
        <f>COUNTIF(TP!$C47,"=4")</f>
        <v>0</v>
      </c>
      <c r="G31" s="55">
        <f>COUNTIF(TP!$C47,"=5")</f>
        <v>0</v>
      </c>
      <c r="H31" s="63">
        <f t="array" ref="H31">IF(SUM(C31:G31)=0,,SUM((C31:G31)*($C$18:$G$18))/SUM(C31:G31))</f>
        <v>0</v>
      </c>
    </row>
    <row r="32" spans="2:8" ht="13.5" thickBot="1" x14ac:dyDescent="0.25">
      <c r="B32" s="57" t="s">
        <v>33</v>
      </c>
      <c r="C32" s="59">
        <f>SUM(C27:C31)*C$18</f>
        <v>0</v>
      </c>
      <c r="D32" s="60">
        <f>SUM(D27:D31)*D$18</f>
        <v>0</v>
      </c>
      <c r="E32" s="60">
        <f>SUM(E27:E31)*E$18</f>
        <v>0</v>
      </c>
      <c r="F32" s="60">
        <f>SUM(F27:F31)*F$18</f>
        <v>0</v>
      </c>
      <c r="G32" s="61">
        <f>SUM(G27:G31)*G$18</f>
        <v>0</v>
      </c>
      <c r="H32" s="65">
        <f>SUM(H27:H31)*4</f>
        <v>0</v>
      </c>
    </row>
    <row r="34" spans="2:8" ht="13.5" thickBot="1" x14ac:dyDescent="0.25">
      <c r="B34" t="s">
        <v>78</v>
      </c>
      <c r="D34" s="88">
        <f>'02B-Res'!D34</f>
        <v>0.3</v>
      </c>
    </row>
    <row r="35" spans="2:8" x14ac:dyDescent="0.2">
      <c r="B35" s="58">
        <v>1</v>
      </c>
      <c r="C35" s="192">
        <f>COUNTIF(TP!$K43:$N43,"=1")</f>
        <v>0</v>
      </c>
      <c r="D35" s="193">
        <f>COUNTIF(TP!$K43:$N43,"=2")</f>
        <v>0</v>
      </c>
      <c r="E35" s="193">
        <f>COUNTIF(TP!$K43:$N43,"=3")</f>
        <v>0</v>
      </c>
      <c r="F35" s="193">
        <f>COUNTIF(TP!$K43:$N43,"=4")</f>
        <v>0</v>
      </c>
      <c r="G35" s="194">
        <f>COUNTIF(TP!$K43:$N43,"=5")</f>
        <v>0</v>
      </c>
      <c r="H35" s="66">
        <f t="array" ref="H35">IF(SUM(C35:G35)=0,,SUM((C35:G35)*($C$18:$G$18))/SUM(C35:G35))</f>
        <v>0</v>
      </c>
    </row>
    <row r="36" spans="2:8" x14ac:dyDescent="0.2">
      <c r="B36" s="52">
        <v>2</v>
      </c>
      <c r="C36" s="53">
        <f>COUNTIF(TP!$K44:$N44,"=1")</f>
        <v>0</v>
      </c>
      <c r="D36" s="54">
        <f>COUNTIF(TP!$K44:$N44,"=2")</f>
        <v>0</v>
      </c>
      <c r="E36" s="54">
        <f>COUNTIF(TP!$K44:$N44,"=3")</f>
        <v>0</v>
      </c>
      <c r="F36" s="54">
        <f>COUNTIF(TP!$K44:$N44,"=4")</f>
        <v>0</v>
      </c>
      <c r="G36" s="55">
        <f>COUNTIF(TP!$K44:$N44,"=5")</f>
        <v>0</v>
      </c>
      <c r="H36" s="63">
        <f t="array" ref="H36">IF(SUM(C36:G36)=0,,SUM((C36:G36)*($C$18:$G$18))/SUM(C36:G36))</f>
        <v>0</v>
      </c>
    </row>
    <row r="37" spans="2:8" x14ac:dyDescent="0.2">
      <c r="B37" s="52">
        <v>3</v>
      </c>
      <c r="C37" s="53">
        <f>COUNTIF(TP!$K45:$N45,"=1")</f>
        <v>0</v>
      </c>
      <c r="D37" s="54">
        <f>COUNTIF(TP!$K45:$N45,"=2")</f>
        <v>0</v>
      </c>
      <c r="E37" s="54">
        <f>COUNTIF(TP!$K45:$N45,"=3")</f>
        <v>0</v>
      </c>
      <c r="F37" s="54">
        <f>COUNTIF(TP!$K45:$N45,"=4")</f>
        <v>0</v>
      </c>
      <c r="G37" s="55">
        <f>COUNTIF(TP!$K45:$N45,"=5")</f>
        <v>0</v>
      </c>
      <c r="H37" s="63">
        <f t="array" ref="H37">IF(SUM(C37:G37)=0,,SUM((C37:G37)*($C$18:$G$18))/SUM(C37:G37))</f>
        <v>0</v>
      </c>
    </row>
    <row r="38" spans="2:8" x14ac:dyDescent="0.2">
      <c r="B38" s="52">
        <v>4</v>
      </c>
      <c r="C38" s="53">
        <f>COUNTIF(TP!$K46:$N46,"=1")</f>
        <v>0</v>
      </c>
      <c r="D38" s="54">
        <f>COUNTIF(TP!$K46:$N46,"=2")</f>
        <v>0</v>
      </c>
      <c r="E38" s="54">
        <f>COUNTIF(TP!$K46:$N46,"=3")</f>
        <v>0</v>
      </c>
      <c r="F38" s="54">
        <f>COUNTIF(TP!$K46:$N46,"=4")</f>
        <v>0</v>
      </c>
      <c r="G38" s="55">
        <f>COUNTIF(TP!$K46:$N46,"=5")</f>
        <v>0</v>
      </c>
      <c r="H38" s="63">
        <f t="array" ref="H38">IF(SUM(C38:G38)=0,,SUM((C38:G38)*($C$18:$G$18))/SUM(C38:G38))</f>
        <v>0</v>
      </c>
    </row>
    <row r="39" spans="2:8" ht="13.5" thickBot="1" x14ac:dyDescent="0.25">
      <c r="B39" s="56">
        <v>5</v>
      </c>
      <c r="C39" s="190">
        <f>COUNTIF(TP!$K47:$N47,"=1")</f>
        <v>0</v>
      </c>
      <c r="D39" s="13">
        <f>COUNTIF(TP!$K47:$N47,"=2")</f>
        <v>0</v>
      </c>
      <c r="E39" s="13">
        <f>COUNTIF(TP!$K47:$N47,"=3")</f>
        <v>0</v>
      </c>
      <c r="F39" s="13">
        <f>COUNTIF(TP!$K47:$N47,"=4")</f>
        <v>0</v>
      </c>
      <c r="G39" s="191">
        <f>COUNTIF(TP!$K47:$N47,"=5")</f>
        <v>0</v>
      </c>
      <c r="H39" s="64">
        <f t="array" ref="H39">IF(SUM(C39:G39)=0,,SUM((C39:G39)*($C$18:$G$18))/SUM(C39:G39))</f>
        <v>0</v>
      </c>
    </row>
    <row r="40" spans="2:8" ht="13.5" thickBot="1" x14ac:dyDescent="0.25">
      <c r="B40" s="57" t="s">
        <v>33</v>
      </c>
      <c r="C40" s="59">
        <f>SUM(C35:C39)*C$18</f>
        <v>0</v>
      </c>
      <c r="D40" s="60">
        <f>SUM(D35:D39)*D$18</f>
        <v>0</v>
      </c>
      <c r="E40" s="60">
        <f>SUM(E35:E39)*E$18</f>
        <v>0</v>
      </c>
      <c r="F40" s="60">
        <f>SUM(F35:F39)*F$18</f>
        <v>0</v>
      </c>
      <c r="G40" s="61">
        <f>SUM(G35:G39)*G$18</f>
        <v>0</v>
      </c>
      <c r="H40" s="65">
        <f>SUM(H35:H39)*4</f>
        <v>0</v>
      </c>
    </row>
    <row r="42" spans="2:8" ht="13.5" thickBot="1" x14ac:dyDescent="0.25">
      <c r="B42" t="s">
        <v>79</v>
      </c>
      <c r="D42" s="88">
        <f>'02B-Res'!D42</f>
        <v>0.3</v>
      </c>
    </row>
    <row r="43" spans="2:8" x14ac:dyDescent="0.2">
      <c r="B43" s="58">
        <v>1</v>
      </c>
      <c r="C43" s="192">
        <f>COUNTIF(TP!$U43:$AF43,"=1")</f>
        <v>0</v>
      </c>
      <c r="D43" s="193">
        <f>COUNTIF(TP!$U43:$AF43,"=2")</f>
        <v>0</v>
      </c>
      <c r="E43" s="193">
        <f>COUNTIF(TP!$U43:$AF43,"=3")</f>
        <v>0</v>
      </c>
      <c r="F43" s="193">
        <f>COUNTIF(TP!$U43:$AF43,"=4")</f>
        <v>0</v>
      </c>
      <c r="G43" s="194">
        <f>COUNTIF(TP!$U43:$AF43,"=5")</f>
        <v>0</v>
      </c>
      <c r="H43" s="66">
        <f t="array" ref="H43">IF(SUM(C43:G43)=0,,SUM((C43:G43)*($C$18:$G$18))/SUM(C43:G43))</f>
        <v>0</v>
      </c>
    </row>
    <row r="44" spans="2:8" x14ac:dyDescent="0.2">
      <c r="B44" s="52">
        <v>2</v>
      </c>
      <c r="C44" s="53">
        <f>COUNTIF(TP!$U44:$AF44,"=1")</f>
        <v>0</v>
      </c>
      <c r="D44" s="54">
        <f>COUNTIF(TP!$U44:$AF44,"=2")</f>
        <v>0</v>
      </c>
      <c r="E44" s="54">
        <f>COUNTIF(TP!$U44:$AF44,"=3")</f>
        <v>0</v>
      </c>
      <c r="F44" s="54">
        <f>COUNTIF(TP!$U44:$AF44,"=4")</f>
        <v>0</v>
      </c>
      <c r="G44" s="55">
        <f>COUNTIF(TP!$U44:$AF44,"=5")</f>
        <v>0</v>
      </c>
      <c r="H44" s="63">
        <f t="array" ref="H44">IF(SUM(C44:G44)=0,,SUM((C44:G44)*($C$18:$G$18))/SUM(C44:G44))</f>
        <v>0</v>
      </c>
    </row>
    <row r="45" spans="2:8" x14ac:dyDescent="0.2">
      <c r="B45" s="52">
        <v>3</v>
      </c>
      <c r="C45" s="53">
        <f>COUNTIF(TP!$U45:$AF45,"=1")</f>
        <v>0</v>
      </c>
      <c r="D45" s="54">
        <f>COUNTIF(TP!$U45:$AF45,"=2")</f>
        <v>0</v>
      </c>
      <c r="E45" s="54">
        <f>COUNTIF(TP!$U45:$AF45,"=3")</f>
        <v>0</v>
      </c>
      <c r="F45" s="54">
        <f>COUNTIF(TP!$U45:$AF45,"=4")</f>
        <v>0</v>
      </c>
      <c r="G45" s="55">
        <f>COUNTIF(TP!$U45:$AF45,"=5")</f>
        <v>0</v>
      </c>
      <c r="H45" s="63">
        <f t="array" ref="H45">IF(SUM(C45:G45)=0,,SUM((C45:G45)*($C$18:$G$18))/SUM(C45:G45))</f>
        <v>0</v>
      </c>
    </row>
    <row r="46" spans="2:8" x14ac:dyDescent="0.2">
      <c r="B46" s="52">
        <v>4</v>
      </c>
      <c r="C46" s="53">
        <f>COUNTIF(TP!$U46:$AF46,"=1")</f>
        <v>0</v>
      </c>
      <c r="D46" s="54">
        <f>COUNTIF(TP!$U46:$AF46,"=2")</f>
        <v>0</v>
      </c>
      <c r="E46" s="54">
        <f>COUNTIF(TP!$U46:$AF46,"=3")</f>
        <v>0</v>
      </c>
      <c r="F46" s="54">
        <f>COUNTIF(TP!$U46:$AF46,"=4")</f>
        <v>0</v>
      </c>
      <c r="G46" s="55">
        <f>COUNTIF(TP!$U46:$AF46,"=5")</f>
        <v>0</v>
      </c>
      <c r="H46" s="63">
        <f t="array" ref="H46">IF(SUM(C46:G46)=0,,SUM((C46:G46)*($C$18:$G$18))/SUM(C46:G46))</f>
        <v>0</v>
      </c>
    </row>
    <row r="47" spans="2:8" ht="13.5" thickBot="1" x14ac:dyDescent="0.25">
      <c r="B47" s="52">
        <v>5</v>
      </c>
      <c r="C47" s="53">
        <f>COUNTIF(TP!$U47:$AF47,"=1")</f>
        <v>0</v>
      </c>
      <c r="D47" s="54">
        <f>COUNTIF(TP!$U47:$AF47,"=2")</f>
        <v>0</v>
      </c>
      <c r="E47" s="54">
        <f>COUNTIF(TP!$U47:$AF47,"=3")</f>
        <v>0</v>
      </c>
      <c r="F47" s="54">
        <f>COUNTIF(TP!$U47:$AF47,"=4")</f>
        <v>0</v>
      </c>
      <c r="G47" s="55">
        <f>COUNTIF(TP!$U47:$AF47,"=5")</f>
        <v>0</v>
      </c>
      <c r="H47" s="63">
        <f t="array" ref="H47">IF(SUM(C47:G47)=0,,SUM((C47:G47)*($C$18:$G$18))/SUM(C47:G47))</f>
        <v>0</v>
      </c>
    </row>
    <row r="48" spans="2:8" ht="13.5" thickBot="1" x14ac:dyDescent="0.25">
      <c r="B48" s="57" t="s">
        <v>33</v>
      </c>
      <c r="C48" s="59">
        <f>SUM(C43:C47)*C$18</f>
        <v>0</v>
      </c>
      <c r="D48" s="60">
        <f>SUM(D43:D47)*D$18</f>
        <v>0</v>
      </c>
      <c r="E48" s="60">
        <f>SUM(E43:E47)*E$18</f>
        <v>0</v>
      </c>
      <c r="F48" s="60">
        <f>SUM(F43:F47)*F$18</f>
        <v>0</v>
      </c>
      <c r="G48" s="61">
        <f>SUM(G43:G47)*G$18</f>
        <v>0</v>
      </c>
      <c r="H48" s="65">
        <f>SUM(H43:H47)*4</f>
        <v>0</v>
      </c>
    </row>
    <row r="54" spans="6:8" x14ac:dyDescent="0.2">
      <c r="F54" s="438" t="str">
        <f>TI!DZ75</f>
        <v>DANIEL E. MALIGAT, JR., DIT</v>
      </c>
      <c r="G54" s="438"/>
      <c r="H54" s="438"/>
    </row>
    <row r="55" spans="6:8" x14ac:dyDescent="0.2">
      <c r="F55" s="453" t="str">
        <f>TI!DZ76</f>
        <v>DEAN</v>
      </c>
      <c r="G55" s="453"/>
      <c r="H55" s="453"/>
    </row>
  </sheetData>
  <sheetProtection password="CA99" sheet="1" objects="1" scenarios="1"/>
  <mergeCells count="10">
    <mergeCell ref="F54:H54"/>
    <mergeCell ref="F55:H55"/>
    <mergeCell ref="C17:G17"/>
    <mergeCell ref="B4:H4"/>
    <mergeCell ref="B5:H5"/>
    <mergeCell ref="B7:H7"/>
    <mergeCell ref="B8:H8"/>
    <mergeCell ref="E9:G9"/>
    <mergeCell ref="C12:F12"/>
    <mergeCell ref="C13:F13"/>
  </mergeCells>
  <phoneticPr fontId="4" type="noConversion"/>
  <printOptions horizontalCentered="1"/>
  <pageMargins left="0.75" right="0.5" top="0.75" bottom="1" header="0.5" footer="0.5"/>
  <pageSetup paperSize="291" orientation="portrait" blackAndWhite="1" horizontalDpi="4294967295" verticalDpi="72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>
    <tabColor indexed="10"/>
  </sheetPr>
  <dimension ref="B1:G54"/>
  <sheetViews>
    <sheetView showZeros="0" topLeftCell="A37" zoomScale="75" workbookViewId="0">
      <selection activeCell="L37" sqref="L37"/>
    </sheetView>
  </sheetViews>
  <sheetFormatPr defaultRowHeight="12.75" x14ac:dyDescent="0.2"/>
  <cols>
    <col min="1" max="1" width="1.85546875" customWidth="1"/>
    <col min="2" max="2" width="20.140625" customWidth="1"/>
    <col min="5" max="7" width="10.85546875" customWidth="1"/>
  </cols>
  <sheetData>
    <row r="1" spans="2:7" x14ac:dyDescent="0.2">
      <c r="B1" t="s">
        <v>44</v>
      </c>
    </row>
    <row r="4" spans="2:7" x14ac:dyDescent="0.2">
      <c r="B4" s="353" t="s">
        <v>1</v>
      </c>
      <c r="C4" s="353"/>
      <c r="D4" s="353"/>
      <c r="E4" s="353"/>
      <c r="F4" s="353"/>
      <c r="G4" s="353"/>
    </row>
    <row r="5" spans="2:7" x14ac:dyDescent="0.2">
      <c r="B5" s="353" t="s">
        <v>2</v>
      </c>
      <c r="C5" s="353"/>
      <c r="D5" s="353"/>
      <c r="E5" s="353"/>
      <c r="F5" s="353"/>
      <c r="G5" s="353"/>
    </row>
    <row r="7" spans="2:7" x14ac:dyDescent="0.2">
      <c r="B7" s="353" t="s">
        <v>45</v>
      </c>
      <c r="C7" s="353"/>
      <c r="D7" s="353"/>
      <c r="E7" s="353"/>
      <c r="F7" s="353"/>
      <c r="G7" s="353"/>
    </row>
    <row r="8" spans="2:7" x14ac:dyDescent="0.2">
      <c r="B8" s="353" t="s">
        <v>46</v>
      </c>
      <c r="C8" s="353"/>
      <c r="D8" s="353"/>
      <c r="E8" s="353"/>
      <c r="F8" s="353"/>
      <c r="G8" s="353"/>
    </row>
    <row r="9" spans="2:7" x14ac:dyDescent="0.2">
      <c r="C9" s="67" t="s">
        <v>47</v>
      </c>
      <c r="D9" s="438">
        <f>TI!MG6</f>
        <v>0</v>
      </c>
      <c r="E9" s="438"/>
      <c r="F9" s="438"/>
      <c r="G9" s="40"/>
    </row>
    <row r="12" spans="2:7" x14ac:dyDescent="0.2">
      <c r="B12" t="s">
        <v>41</v>
      </c>
      <c r="C12" s="438" t="str">
        <f>TI!DC6</f>
        <v xml:space="preserve">,  </v>
      </c>
      <c r="D12" s="438"/>
      <c r="E12" s="438"/>
      <c r="F12" s="438"/>
    </row>
    <row r="13" spans="2:7" x14ac:dyDescent="0.2">
      <c r="B13" t="s">
        <v>48</v>
      </c>
      <c r="C13" s="408" t="str">
        <f>DATA!M3 &amp; " " &amp;DATA!M4</f>
        <v>Instructor I</v>
      </c>
      <c r="D13" s="408"/>
      <c r="E13" s="408"/>
      <c r="F13" s="408"/>
    </row>
    <row r="16" spans="2:7" x14ac:dyDescent="0.2">
      <c r="B16" s="489" t="s">
        <v>49</v>
      </c>
      <c r="C16" s="497"/>
      <c r="D16" s="497"/>
      <c r="E16" s="495" t="s">
        <v>58</v>
      </c>
      <c r="F16" s="495" t="s">
        <v>59</v>
      </c>
      <c r="G16" s="68" t="s">
        <v>24</v>
      </c>
    </row>
    <row r="17" spans="2:7" x14ac:dyDescent="0.2">
      <c r="B17" s="492"/>
      <c r="C17" s="493"/>
      <c r="D17" s="493"/>
      <c r="E17" s="496"/>
      <c r="F17" s="496"/>
      <c r="G17" s="69" t="s">
        <v>8</v>
      </c>
    </row>
    <row r="18" spans="2:7" x14ac:dyDescent="0.2">
      <c r="B18" s="488" t="s">
        <v>50</v>
      </c>
      <c r="C18" s="488"/>
      <c r="D18" s="488"/>
      <c r="E18" s="73" t="e">
        <f>TI!AQ44</f>
        <v>#DIV/0!</v>
      </c>
      <c r="F18" s="70">
        <f>TI!AI44</f>
        <v>0.25</v>
      </c>
      <c r="G18" s="73" t="e">
        <f>E18*F18</f>
        <v>#DIV/0!</v>
      </c>
    </row>
    <row r="19" spans="2:7" x14ac:dyDescent="0.2">
      <c r="B19" s="488" t="s">
        <v>51</v>
      </c>
      <c r="C19" s="488"/>
      <c r="D19" s="488"/>
      <c r="E19" s="73" t="e">
        <f>TI!AQ50</f>
        <v>#DIV/0!</v>
      </c>
      <c r="F19" s="70">
        <f>TI!AI50</f>
        <v>0.25</v>
      </c>
      <c r="G19" s="73" t="e">
        <f>E19*F19</f>
        <v>#DIV/0!</v>
      </c>
    </row>
    <row r="20" spans="2:7" x14ac:dyDescent="0.2">
      <c r="B20" s="488" t="s">
        <v>52</v>
      </c>
      <c r="C20" s="488"/>
      <c r="D20" s="488"/>
      <c r="E20" s="73" t="e">
        <f>TI!AQ56</f>
        <v>#DIV/0!</v>
      </c>
      <c r="F20" s="70">
        <f>TI!AI56</f>
        <v>0.25</v>
      </c>
      <c r="G20" s="73" t="e">
        <f>E20*F20</f>
        <v>#DIV/0!</v>
      </c>
    </row>
    <row r="21" spans="2:7" x14ac:dyDescent="0.2">
      <c r="B21" s="488" t="s">
        <v>53</v>
      </c>
      <c r="C21" s="488"/>
      <c r="D21" s="488"/>
      <c r="E21" s="73" t="e">
        <f>TI!AQ62</f>
        <v>#DIV/0!</v>
      </c>
      <c r="F21" s="70">
        <f>TI!AI62</f>
        <v>0.25</v>
      </c>
      <c r="G21" s="73" t="e">
        <f>E21*F21</f>
        <v>#DIV/0!</v>
      </c>
    </row>
    <row r="22" spans="2:7" ht="13.5" thickBot="1" x14ac:dyDescent="0.25">
      <c r="B22" s="76" t="s">
        <v>63</v>
      </c>
      <c r="C22" s="81">
        <f>INDEX(Instruction,Rank_Link)</f>
        <v>1</v>
      </c>
      <c r="D22" s="74" t="e">
        <f>C22*G22</f>
        <v>#DIV/0!</v>
      </c>
      <c r="E22" s="54"/>
      <c r="F22" s="54"/>
      <c r="G22" s="74" t="e">
        <f>SUM(G18:G21)</f>
        <v>#DIV/0!</v>
      </c>
    </row>
    <row r="23" spans="2:7" x14ac:dyDescent="0.2">
      <c r="B23" s="489" t="s">
        <v>60</v>
      </c>
      <c r="C23" s="490"/>
      <c r="D23" s="491"/>
      <c r="E23" s="495" t="s">
        <v>58</v>
      </c>
      <c r="F23" s="495" t="s">
        <v>59</v>
      </c>
      <c r="G23" s="68" t="s">
        <v>24</v>
      </c>
    </row>
    <row r="24" spans="2:7" x14ac:dyDescent="0.2">
      <c r="B24" s="492"/>
      <c r="C24" s="493"/>
      <c r="D24" s="494"/>
      <c r="E24" s="496"/>
      <c r="F24" s="496"/>
      <c r="G24" s="69" t="s">
        <v>8</v>
      </c>
    </row>
    <row r="25" spans="2:7" x14ac:dyDescent="0.2">
      <c r="B25" s="488" t="s">
        <v>54</v>
      </c>
      <c r="C25" s="488"/>
      <c r="D25" s="488"/>
      <c r="E25" s="73">
        <f>'02B-Res'!H24</f>
        <v>0</v>
      </c>
      <c r="F25" s="71">
        <f>F18</f>
        <v>0.25</v>
      </c>
      <c r="G25" s="73">
        <f>E25*F25</f>
        <v>0</v>
      </c>
    </row>
    <row r="26" spans="2:7" x14ac:dyDescent="0.2">
      <c r="B26" s="488" t="s">
        <v>55</v>
      </c>
      <c r="C26" s="488"/>
      <c r="D26" s="488"/>
      <c r="E26" s="73">
        <f>'02B-Res'!H32</f>
        <v>0</v>
      </c>
      <c r="F26" s="71">
        <f>F19</f>
        <v>0.25</v>
      </c>
      <c r="G26" s="73">
        <f>E26*F26</f>
        <v>0</v>
      </c>
    </row>
    <row r="27" spans="2:7" x14ac:dyDescent="0.2">
      <c r="B27" s="488" t="s">
        <v>56</v>
      </c>
      <c r="C27" s="488"/>
      <c r="D27" s="488"/>
      <c r="E27" s="73">
        <f>'02B-Res'!H40</f>
        <v>0</v>
      </c>
      <c r="F27" s="71">
        <f>F20</f>
        <v>0.25</v>
      </c>
      <c r="G27" s="73">
        <f>E27*F27</f>
        <v>0</v>
      </c>
    </row>
    <row r="28" spans="2:7" x14ac:dyDescent="0.2">
      <c r="B28" s="488" t="s">
        <v>57</v>
      </c>
      <c r="C28" s="488"/>
      <c r="D28" s="488"/>
      <c r="E28" s="73">
        <f>'02B-Res'!H48</f>
        <v>0</v>
      </c>
      <c r="F28" s="71">
        <f>F21</f>
        <v>0.25</v>
      </c>
      <c r="G28" s="73">
        <f>E28*F28</f>
        <v>0</v>
      </c>
    </row>
    <row r="29" spans="2:7" ht="13.5" thickBot="1" x14ac:dyDescent="0.25">
      <c r="B29" s="76" t="s">
        <v>63</v>
      </c>
      <c r="C29" s="81">
        <f>INDEX(Research, Rank_Link)</f>
        <v>0</v>
      </c>
      <c r="D29" s="74">
        <f>C29*G29</f>
        <v>0</v>
      </c>
      <c r="E29" s="54"/>
      <c r="F29" s="54"/>
      <c r="G29" s="74">
        <f>SUM(G25:G28)</f>
        <v>0</v>
      </c>
    </row>
    <row r="30" spans="2:7" x14ac:dyDescent="0.2">
      <c r="B30" s="489" t="s">
        <v>61</v>
      </c>
      <c r="C30" s="490"/>
      <c r="D30" s="491"/>
      <c r="E30" s="495" t="s">
        <v>58</v>
      </c>
      <c r="F30" s="495" t="s">
        <v>59</v>
      </c>
      <c r="G30" s="68" t="s">
        <v>24</v>
      </c>
    </row>
    <row r="31" spans="2:7" x14ac:dyDescent="0.2">
      <c r="B31" s="492"/>
      <c r="C31" s="493"/>
      <c r="D31" s="494"/>
      <c r="E31" s="496"/>
      <c r="F31" s="496"/>
      <c r="G31" s="69" t="s">
        <v>8</v>
      </c>
    </row>
    <row r="32" spans="2:7" x14ac:dyDescent="0.2">
      <c r="B32" s="488" t="s">
        <v>54</v>
      </c>
      <c r="C32" s="488"/>
      <c r="D32" s="488"/>
      <c r="E32" s="73">
        <f>'02B-Ext'!H24</f>
        <v>0</v>
      </c>
      <c r="F32" s="71">
        <f>F25</f>
        <v>0.25</v>
      </c>
      <c r="G32" s="73">
        <f>E32*F32</f>
        <v>0</v>
      </c>
    </row>
    <row r="33" spans="2:7" x14ac:dyDescent="0.2">
      <c r="B33" s="488" t="s">
        <v>55</v>
      </c>
      <c r="C33" s="488"/>
      <c r="D33" s="488"/>
      <c r="E33" s="73">
        <f>'02B-Ext'!H32</f>
        <v>0</v>
      </c>
      <c r="F33" s="71">
        <f>F26</f>
        <v>0.25</v>
      </c>
      <c r="G33" s="73">
        <f>E33*F33</f>
        <v>0</v>
      </c>
    </row>
    <row r="34" spans="2:7" x14ac:dyDescent="0.2">
      <c r="B34" s="488" t="s">
        <v>56</v>
      </c>
      <c r="C34" s="488"/>
      <c r="D34" s="488"/>
      <c r="E34" s="73">
        <f>'02B-Ext'!H40</f>
        <v>0</v>
      </c>
      <c r="F34" s="71">
        <f>F27</f>
        <v>0.25</v>
      </c>
      <c r="G34" s="73">
        <f>E34*F34</f>
        <v>0</v>
      </c>
    </row>
    <row r="35" spans="2:7" x14ac:dyDescent="0.2">
      <c r="B35" s="488" t="s">
        <v>57</v>
      </c>
      <c r="C35" s="488"/>
      <c r="D35" s="488"/>
      <c r="E35" s="73">
        <f>'02B-Ext'!H48</f>
        <v>0</v>
      </c>
      <c r="F35" s="71">
        <f>F28</f>
        <v>0.25</v>
      </c>
      <c r="G35" s="73">
        <f>E35*F35</f>
        <v>0</v>
      </c>
    </row>
    <row r="36" spans="2:7" ht="13.5" thickBot="1" x14ac:dyDescent="0.25">
      <c r="B36" s="76" t="s">
        <v>63</v>
      </c>
      <c r="C36" s="81">
        <f>INDEX(Extension,Rank_Link)</f>
        <v>0</v>
      </c>
      <c r="D36" s="74">
        <f>C36*G36</f>
        <v>0</v>
      </c>
      <c r="E36" s="54"/>
      <c r="F36" s="54"/>
      <c r="G36" s="74">
        <f>SUM(G32:G35)</f>
        <v>0</v>
      </c>
    </row>
    <row r="37" spans="2:7" x14ac:dyDescent="0.2">
      <c r="B37" s="489" t="s">
        <v>62</v>
      </c>
      <c r="C37" s="490"/>
      <c r="D37" s="491"/>
      <c r="E37" s="495" t="s">
        <v>58</v>
      </c>
      <c r="F37" s="495" t="s">
        <v>59</v>
      </c>
      <c r="G37" s="68" t="s">
        <v>24</v>
      </c>
    </row>
    <row r="38" spans="2:7" x14ac:dyDescent="0.2">
      <c r="B38" s="492"/>
      <c r="C38" s="493"/>
      <c r="D38" s="494"/>
      <c r="E38" s="496"/>
      <c r="F38" s="496"/>
      <c r="G38" s="69" t="s">
        <v>8</v>
      </c>
    </row>
    <row r="39" spans="2:7" x14ac:dyDescent="0.2">
      <c r="B39" s="488" t="s">
        <v>54</v>
      </c>
      <c r="C39" s="488"/>
      <c r="D39" s="488"/>
      <c r="E39" s="73">
        <f>'02B-Prod'!H24</f>
        <v>0</v>
      </c>
      <c r="F39" s="71">
        <f>F25</f>
        <v>0.25</v>
      </c>
      <c r="G39" s="73">
        <f>E39*F39</f>
        <v>0</v>
      </c>
    </row>
    <row r="40" spans="2:7" x14ac:dyDescent="0.2">
      <c r="B40" s="488" t="s">
        <v>55</v>
      </c>
      <c r="C40" s="488"/>
      <c r="D40" s="488"/>
      <c r="E40" s="73">
        <f>'02B-Prod'!H32</f>
        <v>0</v>
      </c>
      <c r="F40" s="71">
        <f>F26</f>
        <v>0.25</v>
      </c>
      <c r="G40" s="73">
        <f>E40*F40</f>
        <v>0</v>
      </c>
    </row>
    <row r="41" spans="2:7" x14ac:dyDescent="0.2">
      <c r="B41" s="488" t="s">
        <v>56</v>
      </c>
      <c r="C41" s="488"/>
      <c r="D41" s="488"/>
      <c r="E41" s="73">
        <f>'02B-Prod'!H40</f>
        <v>0</v>
      </c>
      <c r="F41" s="71">
        <f>F27</f>
        <v>0.25</v>
      </c>
      <c r="G41" s="73">
        <f>E41*F41</f>
        <v>0</v>
      </c>
    </row>
    <row r="42" spans="2:7" x14ac:dyDescent="0.2">
      <c r="B42" s="488" t="s">
        <v>57</v>
      </c>
      <c r="C42" s="488"/>
      <c r="D42" s="488"/>
      <c r="E42" s="73">
        <f>'02B-Prod'!H48</f>
        <v>0</v>
      </c>
      <c r="F42" s="71">
        <f>F28</f>
        <v>0.25</v>
      </c>
      <c r="G42" s="73">
        <f>E42*F42</f>
        <v>0</v>
      </c>
    </row>
    <row r="43" spans="2:7" ht="13.5" thickBot="1" x14ac:dyDescent="0.25">
      <c r="B43" s="76" t="s">
        <v>63</v>
      </c>
      <c r="C43" s="81">
        <f>INDEX(Production, Rank_Link)</f>
        <v>0</v>
      </c>
      <c r="D43" s="74">
        <f>C43*G43</f>
        <v>0</v>
      </c>
      <c r="E43" s="54"/>
      <c r="F43" s="54"/>
      <c r="G43" s="74">
        <f>SUM(G39:G42)</f>
        <v>0</v>
      </c>
    </row>
    <row r="44" spans="2:7" ht="13.5" thickBot="1" x14ac:dyDescent="0.25"/>
    <row r="45" spans="2:7" ht="13.5" thickBot="1" x14ac:dyDescent="0.25">
      <c r="F45" s="67" t="s">
        <v>64</v>
      </c>
      <c r="G45" s="75" t="e">
        <f>ROUND(D43+D36+D29+D22,2)</f>
        <v>#DIV/0!</v>
      </c>
    </row>
    <row r="53" spans="5:7" x14ac:dyDescent="0.2">
      <c r="E53" s="438" t="str">
        <f>TI!DZ75</f>
        <v>DANIEL E. MALIGAT, JR., DIT</v>
      </c>
      <c r="F53" s="438"/>
      <c r="G53" s="438"/>
    </row>
    <row r="54" spans="5:7" x14ac:dyDescent="0.2">
      <c r="E54" s="453" t="str">
        <f>TI!DZ76</f>
        <v>DEAN</v>
      </c>
      <c r="F54" s="453"/>
      <c r="G54" s="453"/>
    </row>
  </sheetData>
  <sheetProtection password="CA99" sheet="1" objects="1" scenarios="1"/>
  <mergeCells count="37">
    <mergeCell ref="B4:G4"/>
    <mergeCell ref="B5:G5"/>
    <mergeCell ref="B7:G7"/>
    <mergeCell ref="B8:G8"/>
    <mergeCell ref="B35:D35"/>
    <mergeCell ref="B28:D28"/>
    <mergeCell ref="B32:D32"/>
    <mergeCell ref="B33:D33"/>
    <mergeCell ref="B34:D34"/>
    <mergeCell ref="B30:D31"/>
    <mergeCell ref="D9:F9"/>
    <mergeCell ref="C12:F12"/>
    <mergeCell ref="C13:F13"/>
    <mergeCell ref="B25:D25"/>
    <mergeCell ref="E30:E31"/>
    <mergeCell ref="F30:F31"/>
    <mergeCell ref="E54:G54"/>
    <mergeCell ref="E37:E38"/>
    <mergeCell ref="F37:F38"/>
    <mergeCell ref="B42:D42"/>
    <mergeCell ref="B16:D17"/>
    <mergeCell ref="B37:D38"/>
    <mergeCell ref="E53:G53"/>
    <mergeCell ref="B39:D39"/>
    <mergeCell ref="B40:D40"/>
    <mergeCell ref="B41:D41"/>
    <mergeCell ref="B18:D18"/>
    <mergeCell ref="B19:D19"/>
    <mergeCell ref="E16:E17"/>
    <mergeCell ref="F16:F17"/>
    <mergeCell ref="B20:D20"/>
    <mergeCell ref="B21:D21"/>
    <mergeCell ref="B26:D26"/>
    <mergeCell ref="B23:D24"/>
    <mergeCell ref="E23:E24"/>
    <mergeCell ref="F23:F24"/>
    <mergeCell ref="B27:D27"/>
  </mergeCells>
  <phoneticPr fontId="4" type="noConversion"/>
  <printOptions horizontalCentered="1"/>
  <pageMargins left="0.75" right="0.5" top="0.75" bottom="1" header="0.5" footer="0.5"/>
  <pageSetup paperSize="291" orientation="portrait" blackAndWhite="1" horizontalDpi="4294967295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>
    <tabColor indexed="10"/>
  </sheetPr>
  <dimension ref="B1:L73"/>
  <sheetViews>
    <sheetView showZeros="0" topLeftCell="A7" zoomScale="75" zoomScaleNormal="75" workbookViewId="0">
      <selection activeCell="F18" sqref="F18"/>
    </sheetView>
  </sheetViews>
  <sheetFormatPr defaultRowHeight="12.75" x14ac:dyDescent="0.2"/>
  <cols>
    <col min="1" max="1" width="1.85546875" customWidth="1"/>
    <col min="2" max="2" width="20.140625" customWidth="1"/>
    <col min="5" max="8" width="7.85546875" customWidth="1"/>
    <col min="10" max="10" width="7.42578125" bestFit="1" customWidth="1"/>
    <col min="11" max="11" width="9.85546875" bestFit="1" customWidth="1"/>
    <col min="12" max="12" width="11.42578125" customWidth="1"/>
  </cols>
  <sheetData>
    <row r="1" spans="2:12" x14ac:dyDescent="0.2">
      <c r="B1" t="s">
        <v>44</v>
      </c>
    </row>
    <row r="3" spans="2:12" x14ac:dyDescent="0.2">
      <c r="B3" s="353" t="s">
        <v>0</v>
      </c>
      <c r="C3" s="353"/>
      <c r="D3" s="353"/>
      <c r="E3" s="353"/>
      <c r="F3" s="353"/>
      <c r="G3" s="353"/>
      <c r="H3" s="353"/>
      <c r="I3" s="353"/>
      <c r="J3" s="353"/>
      <c r="K3" s="353"/>
      <c r="L3" s="353"/>
    </row>
    <row r="4" spans="2:12" x14ac:dyDescent="0.2">
      <c r="B4" s="353" t="s">
        <v>1</v>
      </c>
      <c r="C4" s="353"/>
      <c r="D4" s="353"/>
      <c r="E4" s="353"/>
      <c r="F4" s="353"/>
      <c r="G4" s="353"/>
      <c r="H4" s="353"/>
      <c r="I4" s="353"/>
      <c r="J4" s="353"/>
      <c r="K4" s="353"/>
      <c r="L4" s="353"/>
    </row>
    <row r="5" spans="2:12" x14ac:dyDescent="0.2">
      <c r="B5" s="353" t="s">
        <v>2</v>
      </c>
      <c r="C5" s="353"/>
      <c r="D5" s="353"/>
      <c r="E5" s="353"/>
      <c r="F5" s="353"/>
      <c r="G5" s="353"/>
      <c r="H5" s="353"/>
      <c r="I5" s="353"/>
      <c r="J5" s="353"/>
      <c r="K5" s="353"/>
      <c r="L5" s="353"/>
    </row>
    <row r="7" spans="2:12" x14ac:dyDescent="0.2">
      <c r="B7" s="353" t="s">
        <v>112</v>
      </c>
      <c r="C7" s="353"/>
      <c r="D7" s="353"/>
      <c r="E7" s="353"/>
      <c r="F7" s="353"/>
      <c r="G7" s="353"/>
      <c r="H7" s="353"/>
      <c r="I7" s="353"/>
      <c r="J7" s="353"/>
      <c r="K7" s="353"/>
      <c r="L7" s="353"/>
    </row>
    <row r="8" spans="2:12" x14ac:dyDescent="0.2">
      <c r="B8" s="353" t="s">
        <v>113</v>
      </c>
      <c r="C8" s="353"/>
      <c r="D8" s="353"/>
      <c r="E8" s="353"/>
      <c r="F8" s="353"/>
      <c r="G8" s="353"/>
      <c r="H8" s="353"/>
      <c r="I8" s="353"/>
      <c r="J8" s="353"/>
      <c r="K8" s="353"/>
      <c r="L8" s="353"/>
    </row>
    <row r="9" spans="2:12" x14ac:dyDescent="0.2">
      <c r="E9" s="67" t="s">
        <v>47</v>
      </c>
      <c r="F9" s="438">
        <f>TI!MG6</f>
        <v>0</v>
      </c>
      <c r="G9" s="438"/>
      <c r="H9" s="438"/>
    </row>
    <row r="12" spans="2:12" x14ac:dyDescent="0.2">
      <c r="C12" t="s">
        <v>41</v>
      </c>
      <c r="E12" s="438" t="str">
        <f>TI!DC6</f>
        <v xml:space="preserve">,  </v>
      </c>
      <c r="F12" s="438"/>
      <c r="G12" s="438"/>
      <c r="H12" s="438"/>
    </row>
    <row r="13" spans="2:12" x14ac:dyDescent="0.2">
      <c r="C13" t="s">
        <v>114</v>
      </c>
      <c r="E13" s="408" t="str">
        <f>DATA!M3 &amp; " " &amp;DATA!M4</f>
        <v>Instructor I</v>
      </c>
      <c r="F13" s="408"/>
      <c r="G13" s="408"/>
      <c r="H13" s="408"/>
    </row>
    <row r="14" spans="2:12" x14ac:dyDescent="0.2">
      <c r="C14" t="s">
        <v>118</v>
      </c>
      <c r="E14" s="408">
        <f>Entry!D19</f>
        <v>0</v>
      </c>
      <c r="F14" s="408"/>
      <c r="G14" s="408"/>
      <c r="H14" s="408"/>
    </row>
    <row r="15" spans="2:12" x14ac:dyDescent="0.2">
      <c r="E15" s="1"/>
      <c r="F15" s="1"/>
      <c r="G15" s="1"/>
      <c r="H15" s="1"/>
    </row>
    <row r="16" spans="2:12" x14ac:dyDescent="0.2">
      <c r="B16" s="489" t="s">
        <v>49</v>
      </c>
      <c r="C16" s="497"/>
      <c r="D16" s="497"/>
      <c r="E16" s="504" t="s">
        <v>120</v>
      </c>
      <c r="F16" s="505"/>
      <c r="G16" s="505"/>
      <c r="H16" s="506"/>
      <c r="I16" s="285" t="s">
        <v>119</v>
      </c>
      <c r="J16" s="495" t="s">
        <v>59</v>
      </c>
      <c r="K16" s="286" t="s">
        <v>24</v>
      </c>
      <c r="L16" s="287" t="s">
        <v>124</v>
      </c>
    </row>
    <row r="17" spans="2:12" x14ac:dyDescent="0.2">
      <c r="B17" s="492"/>
      <c r="C17" s="493"/>
      <c r="D17" s="493"/>
      <c r="E17" s="288" t="s">
        <v>22</v>
      </c>
      <c r="F17" s="288" t="s">
        <v>21</v>
      </c>
      <c r="G17" s="288" t="s">
        <v>23</v>
      </c>
      <c r="H17" s="288" t="s">
        <v>20</v>
      </c>
      <c r="I17" s="289" t="s">
        <v>8</v>
      </c>
      <c r="J17" s="496"/>
      <c r="K17" s="290" t="s">
        <v>8</v>
      </c>
      <c r="L17" s="289" t="s">
        <v>130</v>
      </c>
    </row>
    <row r="18" spans="2:12" x14ac:dyDescent="0.2">
      <c r="B18" s="488" t="s">
        <v>115</v>
      </c>
      <c r="C18" s="488"/>
      <c r="D18" s="488"/>
      <c r="E18" s="73">
        <f>SUM(TI!AI45:AJ49)</f>
        <v>0</v>
      </c>
      <c r="F18" s="73" t="e">
        <f>SUM(TI!AG45:AH49)</f>
        <v>#DIV/0!</v>
      </c>
      <c r="G18" s="73">
        <f>SUM(TI!AK45:AL49)</f>
        <v>0</v>
      </c>
      <c r="H18" s="73" t="e">
        <f>SUM(TI!AE45:AF49)</f>
        <v>#DIV/0!</v>
      </c>
      <c r="I18" s="73" t="e">
        <f>TI!AQ44</f>
        <v>#DIV/0!</v>
      </c>
      <c r="J18" s="70">
        <f>TI!AI44</f>
        <v>0.25</v>
      </c>
      <c r="K18" s="155" t="e">
        <f>I18*J18</f>
        <v>#DIV/0!</v>
      </c>
      <c r="L18" s="54"/>
    </row>
    <row r="19" spans="2:12" x14ac:dyDescent="0.2">
      <c r="B19" s="488" t="s">
        <v>116</v>
      </c>
      <c r="C19" s="488"/>
      <c r="D19" s="488"/>
      <c r="E19" s="73">
        <f>SUM(TI!AI51:AJ55)</f>
        <v>0</v>
      </c>
      <c r="F19" s="73" t="e">
        <f>SUM(TI!AG51:AH55)</f>
        <v>#DIV/0!</v>
      </c>
      <c r="G19" s="73">
        <f>SUM(TI!AK51:AL55)</f>
        <v>0</v>
      </c>
      <c r="H19" s="73" t="e">
        <f>SUM(TI!AE51:AF55)</f>
        <v>#DIV/0!</v>
      </c>
      <c r="I19" s="73" t="e">
        <f>TI!AQ50</f>
        <v>#DIV/0!</v>
      </c>
      <c r="J19" s="70">
        <f>TI!AI50</f>
        <v>0.25</v>
      </c>
      <c r="K19" s="155" t="e">
        <f>I19*J19</f>
        <v>#DIV/0!</v>
      </c>
      <c r="L19" s="54"/>
    </row>
    <row r="20" spans="2:12" x14ac:dyDescent="0.2">
      <c r="B20" s="488" t="s">
        <v>131</v>
      </c>
      <c r="C20" s="488"/>
      <c r="D20" s="488"/>
      <c r="E20" s="73">
        <f>SUM(TI!AI57:AJ61)</f>
        <v>0</v>
      </c>
      <c r="F20" s="73" t="e">
        <f>SUM(TI!AG57:AH61)</f>
        <v>#DIV/0!</v>
      </c>
      <c r="G20" s="73">
        <f>SUM(TI!AK57:AL61)</f>
        <v>0</v>
      </c>
      <c r="H20" s="73" t="e">
        <f>SUM(TI!AE57:AF61)</f>
        <v>#DIV/0!</v>
      </c>
      <c r="I20" s="73" t="e">
        <f>TI!AQ56</f>
        <v>#DIV/0!</v>
      </c>
      <c r="J20" s="70">
        <f>TI!AI56</f>
        <v>0.25</v>
      </c>
      <c r="K20" s="155" t="e">
        <f>I20*J20</f>
        <v>#DIV/0!</v>
      </c>
      <c r="L20" s="54"/>
    </row>
    <row r="21" spans="2:12" x14ac:dyDescent="0.2">
      <c r="B21" s="488" t="s">
        <v>117</v>
      </c>
      <c r="C21" s="488"/>
      <c r="D21" s="488"/>
      <c r="E21" s="73">
        <f>SUM(TI!AI63:AJ67)</f>
        <v>0</v>
      </c>
      <c r="F21" s="73" t="e">
        <f>SUM(TI!AG63:AH67)</f>
        <v>#DIV/0!</v>
      </c>
      <c r="G21" s="73">
        <f>SUM(TI!AK63:AL67)</f>
        <v>0</v>
      </c>
      <c r="H21" s="73" t="e">
        <f>SUM(TI!AE63:AF67)</f>
        <v>#DIV/0!</v>
      </c>
      <c r="I21" s="73" t="e">
        <f>TI!AQ62</f>
        <v>#DIV/0!</v>
      </c>
      <c r="J21" s="70">
        <f>TI!AI62</f>
        <v>0.25</v>
      </c>
      <c r="K21" s="155" t="e">
        <f>I21*J21</f>
        <v>#DIV/0!</v>
      </c>
      <c r="L21" s="54"/>
    </row>
    <row r="22" spans="2:12" ht="13.5" thickBot="1" x14ac:dyDescent="0.25">
      <c r="B22" s="76" t="s">
        <v>123</v>
      </c>
      <c r="C22" s="291"/>
      <c r="D22" s="292"/>
      <c r="E22" s="54"/>
      <c r="F22" s="54"/>
      <c r="G22" s="54"/>
      <c r="H22" s="54"/>
      <c r="I22" s="73"/>
      <c r="J22" s="70">
        <v>1</v>
      </c>
      <c r="K22" s="155" t="e">
        <f>SUM(K18:K21)</f>
        <v>#DIV/0!</v>
      </c>
      <c r="L22" s="13"/>
    </row>
    <row r="23" spans="2:12" ht="13.5" thickBot="1" x14ac:dyDescent="0.25">
      <c r="B23" s="293" t="s">
        <v>63</v>
      </c>
      <c r="C23" s="294">
        <f>'03'!C22</f>
        <v>1</v>
      </c>
      <c r="D23" s="145"/>
      <c r="E23" s="211"/>
      <c r="F23" s="211"/>
      <c r="G23" s="211"/>
      <c r="H23" s="211"/>
      <c r="I23" s="13"/>
      <c r="J23" s="13"/>
      <c r="K23" s="295"/>
      <c r="L23" s="296" t="e">
        <f>K22*C23</f>
        <v>#DIV/0!</v>
      </c>
    </row>
    <row r="24" spans="2:12" x14ac:dyDescent="0.2">
      <c r="B24" s="76"/>
      <c r="C24" s="265"/>
      <c r="D24" s="154"/>
      <c r="E24" s="155"/>
      <c r="F24" s="154"/>
      <c r="G24" s="154"/>
      <c r="H24" s="154"/>
      <c r="I24" s="72"/>
      <c r="J24" s="72"/>
      <c r="K24" s="154"/>
      <c r="L24" s="297"/>
    </row>
    <row r="25" spans="2:12" x14ac:dyDescent="0.2">
      <c r="B25" s="502" t="s">
        <v>60</v>
      </c>
      <c r="C25" s="490"/>
      <c r="D25" s="503"/>
      <c r="E25" s="492" t="s">
        <v>120</v>
      </c>
      <c r="F25" s="493"/>
      <c r="G25" s="493"/>
      <c r="H25" s="494"/>
      <c r="I25" s="298" t="s">
        <v>119</v>
      </c>
      <c r="J25" s="498" t="s">
        <v>59</v>
      </c>
      <c r="K25" s="299" t="s">
        <v>24</v>
      </c>
      <c r="L25" s="300"/>
    </row>
    <row r="26" spans="2:12" x14ac:dyDescent="0.2">
      <c r="B26" s="492"/>
      <c r="C26" s="493"/>
      <c r="D26" s="494"/>
      <c r="E26" s="288" t="s">
        <v>86</v>
      </c>
      <c r="F26" s="288" t="s">
        <v>23</v>
      </c>
      <c r="G26" s="288" t="s">
        <v>121</v>
      </c>
      <c r="H26" s="288" t="s">
        <v>122</v>
      </c>
      <c r="I26" s="289" t="s">
        <v>8</v>
      </c>
      <c r="J26" s="496"/>
      <c r="K26" s="290" t="s">
        <v>8</v>
      </c>
      <c r="L26" s="301"/>
    </row>
    <row r="27" spans="2:12" x14ac:dyDescent="0.2">
      <c r="B27" s="488" t="s">
        <v>126</v>
      </c>
      <c r="C27" s="488"/>
      <c r="D27" s="488"/>
      <c r="E27" s="302">
        <f>'02B-Res'!H24</f>
        <v>0</v>
      </c>
      <c r="F27" s="54"/>
      <c r="G27" s="54"/>
      <c r="H27" s="54"/>
      <c r="I27" s="73">
        <f>'02B-Res'!H24</f>
        <v>0</v>
      </c>
      <c r="J27" s="303">
        <f>TR!J9</f>
        <v>0.2</v>
      </c>
      <c r="K27" s="155">
        <f>I27*J27</f>
        <v>0</v>
      </c>
      <c r="L27" s="54"/>
    </row>
    <row r="28" spans="2:12" x14ac:dyDescent="0.2">
      <c r="B28" s="488" t="s">
        <v>127</v>
      </c>
      <c r="C28" s="488"/>
      <c r="D28" s="488"/>
      <c r="E28" s="54"/>
      <c r="F28" s="302">
        <f>'02B-Res'!H32</f>
        <v>0</v>
      </c>
      <c r="G28" s="54"/>
      <c r="H28" s="54"/>
      <c r="I28" s="73">
        <f>'02B-Res'!H32</f>
        <v>0</v>
      </c>
      <c r="J28" s="303">
        <f>TR!E41</f>
        <v>0.2</v>
      </c>
      <c r="K28" s="155">
        <f>I28*J28</f>
        <v>0</v>
      </c>
      <c r="L28" s="54"/>
    </row>
    <row r="29" spans="2:12" x14ac:dyDescent="0.2">
      <c r="B29" s="488" t="s">
        <v>128</v>
      </c>
      <c r="C29" s="488"/>
      <c r="D29" s="488"/>
      <c r="E29" s="54"/>
      <c r="F29" s="54"/>
      <c r="G29" s="302">
        <f>'02B-Res'!H40</f>
        <v>0</v>
      </c>
      <c r="H29" s="54"/>
      <c r="I29" s="73">
        <f>'02B-Res'!H40</f>
        <v>0</v>
      </c>
      <c r="J29" s="303">
        <f>TR!O41</f>
        <v>0.3</v>
      </c>
      <c r="K29" s="155">
        <f>I29*J29</f>
        <v>0</v>
      </c>
      <c r="L29" s="54"/>
    </row>
    <row r="30" spans="2:12" x14ac:dyDescent="0.2">
      <c r="B30" s="488" t="s">
        <v>129</v>
      </c>
      <c r="C30" s="488"/>
      <c r="D30" s="488"/>
      <c r="E30" s="54"/>
      <c r="F30" s="54"/>
      <c r="G30" s="54"/>
      <c r="H30" s="302">
        <f>'02B-Res'!H48</f>
        <v>0</v>
      </c>
      <c r="I30" s="73">
        <f>'02B-Res'!H48</f>
        <v>0</v>
      </c>
      <c r="J30" s="303">
        <f>TR!AC40</f>
        <v>0.3</v>
      </c>
      <c r="K30" s="155">
        <f>I30*J30</f>
        <v>0</v>
      </c>
      <c r="L30" s="54"/>
    </row>
    <row r="31" spans="2:12" ht="13.5" thickBot="1" x14ac:dyDescent="0.25">
      <c r="B31" s="76" t="s">
        <v>123</v>
      </c>
      <c r="C31" s="291"/>
      <c r="D31" s="292"/>
      <c r="E31" s="54"/>
      <c r="F31" s="54"/>
      <c r="G31" s="54"/>
      <c r="H31" s="54"/>
      <c r="I31" s="73"/>
      <c r="J31" s="303">
        <v>1</v>
      </c>
      <c r="K31" s="155">
        <f>SUM(K27:K30)</f>
        <v>0</v>
      </c>
      <c r="L31" s="13"/>
    </row>
    <row r="32" spans="2:12" ht="13.5" thickBot="1" x14ac:dyDescent="0.25">
      <c r="B32" s="76" t="s">
        <v>63</v>
      </c>
      <c r="C32" s="294">
        <f>'03'!C29</f>
        <v>0</v>
      </c>
      <c r="D32" s="145"/>
      <c r="E32" s="211"/>
      <c r="F32" s="211"/>
      <c r="G32" s="211"/>
      <c r="H32" s="211"/>
      <c r="I32" s="13"/>
      <c r="J32" s="304"/>
      <c r="K32" s="295"/>
      <c r="L32" s="296">
        <f>K31*C32</f>
        <v>0</v>
      </c>
    </row>
    <row r="33" spans="2:12" x14ac:dyDescent="0.2">
      <c r="B33" s="293"/>
      <c r="C33" s="305"/>
      <c r="D33" s="212"/>
      <c r="E33" s="155"/>
      <c r="F33" s="154"/>
      <c r="G33" s="154"/>
      <c r="H33" s="154"/>
      <c r="I33" s="72"/>
      <c r="J33" s="306"/>
      <c r="K33" s="154"/>
      <c r="L33" s="297"/>
    </row>
    <row r="34" spans="2:12" x14ac:dyDescent="0.2">
      <c r="B34" s="489" t="s">
        <v>61</v>
      </c>
      <c r="C34" s="497"/>
      <c r="D34" s="491"/>
      <c r="E34" s="492" t="s">
        <v>120</v>
      </c>
      <c r="F34" s="493"/>
      <c r="G34" s="493"/>
      <c r="H34" s="494"/>
      <c r="I34" s="298" t="s">
        <v>119</v>
      </c>
      <c r="J34" s="498" t="s">
        <v>59</v>
      </c>
      <c r="K34" s="299" t="s">
        <v>24</v>
      </c>
      <c r="L34" s="300"/>
    </row>
    <row r="35" spans="2:12" x14ac:dyDescent="0.2">
      <c r="B35" s="492"/>
      <c r="C35" s="493"/>
      <c r="D35" s="494"/>
      <c r="E35" s="288" t="s">
        <v>86</v>
      </c>
      <c r="F35" s="288" t="s">
        <v>23</v>
      </c>
      <c r="G35" s="288" t="s">
        <v>121</v>
      </c>
      <c r="H35" s="288" t="s">
        <v>122</v>
      </c>
      <c r="I35" s="289" t="s">
        <v>8</v>
      </c>
      <c r="J35" s="496"/>
      <c r="K35" s="290" t="s">
        <v>8</v>
      </c>
      <c r="L35" s="301"/>
    </row>
    <row r="36" spans="2:12" x14ac:dyDescent="0.2">
      <c r="B36" s="488" t="s">
        <v>126</v>
      </c>
      <c r="C36" s="488"/>
      <c r="D36" s="488"/>
      <c r="E36" s="302">
        <f>'02B-Ext'!H24</f>
        <v>0</v>
      </c>
      <c r="F36" s="54"/>
      <c r="G36" s="54"/>
      <c r="H36" s="54"/>
      <c r="I36" s="73">
        <f>'02B-Ext'!H24</f>
        <v>0</v>
      </c>
      <c r="J36" s="303">
        <f>J27</f>
        <v>0.2</v>
      </c>
      <c r="K36" s="155">
        <f>I36*J36</f>
        <v>0</v>
      </c>
      <c r="L36" s="54"/>
    </row>
    <row r="37" spans="2:12" x14ac:dyDescent="0.2">
      <c r="B37" s="488" t="s">
        <v>127</v>
      </c>
      <c r="C37" s="488"/>
      <c r="D37" s="488"/>
      <c r="E37" s="54"/>
      <c r="F37" s="302">
        <f>'02B-Ext'!H32</f>
        <v>0</v>
      </c>
      <c r="G37" s="54"/>
      <c r="H37" s="54"/>
      <c r="I37" s="73">
        <f>'02B-Ext'!H32</f>
        <v>0</v>
      </c>
      <c r="J37" s="303">
        <f>J28</f>
        <v>0.2</v>
      </c>
      <c r="K37" s="155">
        <f>I37*J37</f>
        <v>0</v>
      </c>
      <c r="L37" s="54"/>
    </row>
    <row r="38" spans="2:12" x14ac:dyDescent="0.2">
      <c r="B38" s="488" t="s">
        <v>128</v>
      </c>
      <c r="C38" s="488"/>
      <c r="D38" s="488"/>
      <c r="E38" s="54"/>
      <c r="F38" s="54"/>
      <c r="G38" s="302">
        <f>'02B-Ext'!H40</f>
        <v>0</v>
      </c>
      <c r="H38" s="54"/>
      <c r="I38" s="73">
        <f>'02B-Ext'!H40</f>
        <v>0</v>
      </c>
      <c r="J38" s="303">
        <f>J29</f>
        <v>0.3</v>
      </c>
      <c r="K38" s="155">
        <f>I38*J38</f>
        <v>0</v>
      </c>
      <c r="L38" s="54"/>
    </row>
    <row r="39" spans="2:12" x14ac:dyDescent="0.2">
      <c r="B39" s="488" t="s">
        <v>129</v>
      </c>
      <c r="C39" s="488"/>
      <c r="D39" s="488"/>
      <c r="E39" s="54"/>
      <c r="F39" s="54"/>
      <c r="G39" s="54"/>
      <c r="H39" s="302">
        <f>'02B-Ext'!H48</f>
        <v>0</v>
      </c>
      <c r="I39" s="73">
        <f>'02B-Ext'!H48</f>
        <v>0</v>
      </c>
      <c r="J39" s="303">
        <f>J30</f>
        <v>0.3</v>
      </c>
      <c r="K39" s="155">
        <f>I39*J39</f>
        <v>0</v>
      </c>
      <c r="L39" s="54"/>
    </row>
    <row r="40" spans="2:12" ht="13.5" thickBot="1" x14ac:dyDescent="0.25">
      <c r="B40" s="76" t="s">
        <v>123</v>
      </c>
      <c r="C40" s="291"/>
      <c r="D40" s="292"/>
      <c r="E40" s="54"/>
      <c r="F40" s="54"/>
      <c r="G40" s="54"/>
      <c r="H40" s="54"/>
      <c r="I40" s="73"/>
      <c r="J40" s="303">
        <v>1</v>
      </c>
      <c r="K40" s="155">
        <f>SUM(K36:K39)</f>
        <v>0</v>
      </c>
      <c r="L40" s="13"/>
    </row>
    <row r="41" spans="2:12" ht="13.5" thickBot="1" x14ac:dyDescent="0.25">
      <c r="B41" s="76" t="s">
        <v>63</v>
      </c>
      <c r="C41" s="294">
        <f>'03'!C36</f>
        <v>0</v>
      </c>
      <c r="D41" s="145"/>
      <c r="E41" s="211"/>
      <c r="F41" s="211"/>
      <c r="G41" s="211"/>
      <c r="H41" s="211"/>
      <c r="I41" s="13"/>
      <c r="J41" s="304"/>
      <c r="K41" s="295"/>
      <c r="L41" s="296">
        <f>K40*C41</f>
        <v>0</v>
      </c>
    </row>
    <row r="42" spans="2:12" x14ac:dyDescent="0.2">
      <c r="B42" s="293"/>
      <c r="C42" s="305"/>
      <c r="D42" s="212"/>
      <c r="E42" s="155"/>
      <c r="F42" s="154"/>
      <c r="G42" s="154"/>
      <c r="H42" s="154"/>
      <c r="I42" s="72"/>
      <c r="J42" s="306"/>
      <c r="K42" s="154"/>
      <c r="L42" s="297"/>
    </row>
    <row r="43" spans="2:12" x14ac:dyDescent="0.2">
      <c r="B43" s="489" t="s">
        <v>62</v>
      </c>
      <c r="C43" s="497"/>
      <c r="D43" s="491"/>
      <c r="E43" s="492" t="s">
        <v>120</v>
      </c>
      <c r="F43" s="493"/>
      <c r="G43" s="493"/>
      <c r="H43" s="494"/>
      <c r="I43" s="298" t="s">
        <v>119</v>
      </c>
      <c r="J43" s="498" t="s">
        <v>59</v>
      </c>
      <c r="K43" s="299" t="s">
        <v>24</v>
      </c>
      <c r="L43" s="300"/>
    </row>
    <row r="44" spans="2:12" x14ac:dyDescent="0.2">
      <c r="B44" s="492"/>
      <c r="C44" s="493"/>
      <c r="D44" s="494"/>
      <c r="E44" s="288" t="s">
        <v>86</v>
      </c>
      <c r="F44" s="288" t="s">
        <v>23</v>
      </c>
      <c r="G44" s="288" t="s">
        <v>121</v>
      </c>
      <c r="H44" s="288" t="s">
        <v>122</v>
      </c>
      <c r="I44" s="289" t="s">
        <v>8</v>
      </c>
      <c r="J44" s="496"/>
      <c r="K44" s="290" t="s">
        <v>8</v>
      </c>
      <c r="L44" s="301"/>
    </row>
    <row r="45" spans="2:12" x14ac:dyDescent="0.2">
      <c r="B45" s="488" t="s">
        <v>126</v>
      </c>
      <c r="C45" s="488"/>
      <c r="D45" s="488"/>
      <c r="E45" s="302">
        <f>'02B-Prod'!H24</f>
        <v>0</v>
      </c>
      <c r="F45" s="54"/>
      <c r="G45" s="54"/>
      <c r="H45" s="54"/>
      <c r="I45" s="73">
        <f>'02B-Prod'!H24</f>
        <v>0</v>
      </c>
      <c r="J45" s="303">
        <f>J27</f>
        <v>0.2</v>
      </c>
      <c r="K45" s="155">
        <f>I45*J45</f>
        <v>0</v>
      </c>
      <c r="L45" s="54"/>
    </row>
    <row r="46" spans="2:12" x14ac:dyDescent="0.2">
      <c r="B46" s="488" t="s">
        <v>127</v>
      </c>
      <c r="C46" s="488"/>
      <c r="D46" s="488"/>
      <c r="E46" s="54"/>
      <c r="F46" s="302">
        <f>'02B-Prod'!H32</f>
        <v>0</v>
      </c>
      <c r="G46" s="54"/>
      <c r="H46" s="54"/>
      <c r="I46" s="73">
        <f>'02B-Prod'!H32</f>
        <v>0</v>
      </c>
      <c r="J46" s="303">
        <f>J28</f>
        <v>0.2</v>
      </c>
      <c r="K46" s="155">
        <f>I46*J46</f>
        <v>0</v>
      </c>
      <c r="L46" s="54"/>
    </row>
    <row r="47" spans="2:12" x14ac:dyDescent="0.2">
      <c r="B47" s="488" t="s">
        <v>128</v>
      </c>
      <c r="C47" s="488"/>
      <c r="D47" s="488"/>
      <c r="E47" s="54"/>
      <c r="F47" s="54"/>
      <c r="G47" s="302">
        <f>'02B-Prod'!H40</f>
        <v>0</v>
      </c>
      <c r="H47" s="54"/>
      <c r="I47" s="73">
        <f>'02B-Prod'!H40</f>
        <v>0</v>
      </c>
      <c r="J47" s="303">
        <f>J29</f>
        <v>0.3</v>
      </c>
      <c r="K47" s="155">
        <f>I47*J47</f>
        <v>0</v>
      </c>
      <c r="L47" s="54"/>
    </row>
    <row r="48" spans="2:12" x14ac:dyDescent="0.2">
      <c r="B48" s="488" t="s">
        <v>129</v>
      </c>
      <c r="C48" s="488"/>
      <c r="D48" s="488"/>
      <c r="E48" s="54"/>
      <c r="F48" s="54"/>
      <c r="G48" s="54"/>
      <c r="H48" s="302">
        <f>'02B-Prod'!H48</f>
        <v>0</v>
      </c>
      <c r="I48" s="73">
        <f>'02B-Prod'!H48</f>
        <v>0</v>
      </c>
      <c r="J48" s="303">
        <f>J30</f>
        <v>0.3</v>
      </c>
      <c r="K48" s="155">
        <f>I48*J48</f>
        <v>0</v>
      </c>
      <c r="L48" s="54"/>
    </row>
    <row r="49" spans="2:12" ht="13.5" thickBot="1" x14ac:dyDescent="0.25">
      <c r="B49" s="76" t="s">
        <v>123</v>
      </c>
      <c r="C49" s="291"/>
      <c r="D49" s="292"/>
      <c r="E49" s="54"/>
      <c r="F49" s="54"/>
      <c r="G49" s="54"/>
      <c r="H49" s="54"/>
      <c r="I49" s="73"/>
      <c r="J49" s="303">
        <v>1</v>
      </c>
      <c r="K49" s="155">
        <f>SUM(K45:K48)</f>
        <v>0</v>
      </c>
      <c r="L49" s="13"/>
    </row>
    <row r="50" spans="2:12" ht="13.5" thickBot="1" x14ac:dyDescent="0.25">
      <c r="B50" s="293" t="s">
        <v>63</v>
      </c>
      <c r="C50" s="294">
        <f>'03'!C43</f>
        <v>0</v>
      </c>
      <c r="D50" s="307"/>
      <c r="E50" s="73"/>
      <c r="F50" s="73"/>
      <c r="G50" s="73"/>
      <c r="H50" s="73"/>
      <c r="I50" s="54"/>
      <c r="J50" s="70"/>
      <c r="K50" s="295"/>
      <c r="L50" s="296">
        <f>K49*C50</f>
        <v>0</v>
      </c>
    </row>
    <row r="51" spans="2:12" ht="13.5" thickBot="1" x14ac:dyDescent="0.25">
      <c r="B51" s="499" t="s">
        <v>125</v>
      </c>
      <c r="C51" s="500"/>
      <c r="D51" s="501"/>
      <c r="E51" s="308"/>
      <c r="F51" s="309"/>
      <c r="G51" s="309"/>
      <c r="H51" s="309"/>
      <c r="I51" s="309"/>
      <c r="J51" s="309"/>
      <c r="K51" s="310"/>
      <c r="L51" s="311" t="e">
        <f>L23+L32+L41+L50</f>
        <v>#DIV/0!</v>
      </c>
    </row>
    <row r="53" spans="2:12" x14ac:dyDescent="0.2">
      <c r="B53" t="s">
        <v>132</v>
      </c>
      <c r="C53" t="s">
        <v>133</v>
      </c>
      <c r="E53" t="s">
        <v>135</v>
      </c>
      <c r="H53" t="s">
        <v>137</v>
      </c>
      <c r="J53" t="s">
        <v>138</v>
      </c>
    </row>
    <row r="54" spans="2:12" x14ac:dyDescent="0.2">
      <c r="C54" t="s">
        <v>134</v>
      </c>
      <c r="E54" t="s">
        <v>136</v>
      </c>
      <c r="H54" t="s">
        <v>135</v>
      </c>
      <c r="J54" t="s">
        <v>139</v>
      </c>
    </row>
    <row r="57" spans="2:12" x14ac:dyDescent="0.2">
      <c r="B57" s="353" t="s">
        <v>140</v>
      </c>
      <c r="C57" s="353"/>
      <c r="D57" s="353"/>
      <c r="E57" s="353"/>
      <c r="F57" s="353"/>
      <c r="G57" s="353"/>
      <c r="H57" s="353"/>
      <c r="I57" s="353"/>
      <c r="J57" s="353"/>
      <c r="K57" s="353"/>
      <c r="L57" s="353"/>
    </row>
    <row r="58" spans="2:12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60" spans="2:12" x14ac:dyDescent="0.2">
      <c r="B60" s="438" t="s">
        <v>187</v>
      </c>
      <c r="C60" s="438"/>
      <c r="D60" s="438"/>
      <c r="E60" s="438"/>
      <c r="H60" s="438" t="s">
        <v>188</v>
      </c>
      <c r="I60" s="438"/>
      <c r="J60" s="438"/>
      <c r="K60" s="438"/>
      <c r="L60" s="438"/>
    </row>
    <row r="61" spans="2:12" x14ac:dyDescent="0.2">
      <c r="C61" t="s">
        <v>189</v>
      </c>
      <c r="J61" t="s">
        <v>189</v>
      </c>
    </row>
    <row r="64" spans="2:12" x14ac:dyDescent="0.2">
      <c r="B64" s="438" t="s">
        <v>190</v>
      </c>
      <c r="C64" s="438"/>
      <c r="D64" s="438"/>
      <c r="E64" s="438"/>
      <c r="H64" s="438" t="s">
        <v>191</v>
      </c>
      <c r="I64" s="438"/>
      <c r="J64" s="438"/>
      <c r="K64" s="438"/>
      <c r="L64" s="438"/>
    </row>
    <row r="65" spans="2:10" x14ac:dyDescent="0.2">
      <c r="C65" t="s">
        <v>189</v>
      </c>
      <c r="J65" t="s">
        <v>189</v>
      </c>
    </row>
    <row r="68" spans="2:10" x14ac:dyDescent="0.2">
      <c r="B68" s="438" t="s">
        <v>192</v>
      </c>
      <c r="C68" s="438"/>
      <c r="D68" s="438"/>
      <c r="E68" s="438"/>
    </row>
    <row r="69" spans="2:10" x14ac:dyDescent="0.2">
      <c r="C69" t="s">
        <v>189</v>
      </c>
    </row>
    <row r="72" spans="2:10" x14ac:dyDescent="0.2">
      <c r="D72" s="438" t="s">
        <v>193</v>
      </c>
      <c r="E72" s="438"/>
      <c r="F72" s="438"/>
      <c r="G72" s="438"/>
      <c r="H72" s="438"/>
      <c r="I72" s="438"/>
    </row>
    <row r="73" spans="2:10" x14ac:dyDescent="0.2">
      <c r="D73" s="453" t="s">
        <v>194</v>
      </c>
      <c r="E73" s="453"/>
      <c r="F73" s="453"/>
      <c r="G73" s="453"/>
      <c r="H73" s="453"/>
      <c r="I73" s="453"/>
    </row>
  </sheetData>
  <sheetProtection password="CA99" sheet="1" objects="1" scenarios="1"/>
  <mergeCells count="46">
    <mergeCell ref="F9:H9"/>
    <mergeCell ref="B18:D18"/>
    <mergeCell ref="B19:D19"/>
    <mergeCell ref="E14:H14"/>
    <mergeCell ref="E16:H16"/>
    <mergeCell ref="E12:H12"/>
    <mergeCell ref="E13:H13"/>
    <mergeCell ref="B28:D28"/>
    <mergeCell ref="B34:D35"/>
    <mergeCell ref="B25:D26"/>
    <mergeCell ref="J16:J17"/>
    <mergeCell ref="B16:D17"/>
    <mergeCell ref="B20:D20"/>
    <mergeCell ref="J25:J26"/>
    <mergeCell ref="B29:D29"/>
    <mergeCell ref="B21:D21"/>
    <mergeCell ref="B27:D27"/>
    <mergeCell ref="E25:H25"/>
    <mergeCell ref="B3:L3"/>
    <mergeCell ref="B4:L4"/>
    <mergeCell ref="B5:L5"/>
    <mergeCell ref="B7:L7"/>
    <mergeCell ref="B8:L8"/>
    <mergeCell ref="B39:D39"/>
    <mergeCell ref="B30:D30"/>
    <mergeCell ref="B36:D36"/>
    <mergeCell ref="B37:D37"/>
    <mergeCell ref="B57:L57"/>
    <mergeCell ref="B43:D44"/>
    <mergeCell ref="B45:D45"/>
    <mergeCell ref="B46:D46"/>
    <mergeCell ref="B47:D47"/>
    <mergeCell ref="B38:D38"/>
    <mergeCell ref="J34:J35"/>
    <mergeCell ref="E43:H43"/>
    <mergeCell ref="B48:D48"/>
    <mergeCell ref="J43:J44"/>
    <mergeCell ref="B51:D51"/>
    <mergeCell ref="E34:H34"/>
    <mergeCell ref="D73:I73"/>
    <mergeCell ref="B60:E60"/>
    <mergeCell ref="H60:L60"/>
    <mergeCell ref="B64:E64"/>
    <mergeCell ref="H64:L64"/>
    <mergeCell ref="B68:E68"/>
    <mergeCell ref="D72:I72"/>
  </mergeCells>
  <phoneticPr fontId="0" type="noConversion"/>
  <printOptions horizontalCentered="1"/>
  <pageMargins left="0.5" right="0.5" top="0.5" bottom="0.5" header="0.5" footer="0.5"/>
  <pageSetup paperSize="291" scale="89" orientation="portrait" blackAndWhite="1" horizontalDpi="4294967295" verticalDpi="72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B1:Q40"/>
  <sheetViews>
    <sheetView topLeftCell="A14" zoomScale="75" workbookViewId="0">
      <selection activeCell="A49" sqref="A49"/>
    </sheetView>
  </sheetViews>
  <sheetFormatPr defaultRowHeight="12.75" outlineLevelRow="1" x14ac:dyDescent="0.2"/>
  <cols>
    <col min="1" max="1" width="1.85546875" customWidth="1"/>
    <col min="2" max="2" width="8.85546875" customWidth="1"/>
    <col min="3" max="3" width="24.5703125" customWidth="1"/>
    <col min="4" max="4" width="9.85546875" customWidth="1"/>
    <col min="5" max="5" width="8.85546875" customWidth="1"/>
    <col min="6" max="6" width="9.140625" customWidth="1"/>
    <col min="7" max="7" width="10.140625" customWidth="1"/>
    <col min="14" max="14" width="10.140625" bestFit="1" customWidth="1"/>
  </cols>
  <sheetData>
    <row r="1" spans="2:14" ht="13.5" outlineLevel="1" thickBot="1" x14ac:dyDescent="0.25"/>
    <row r="2" spans="2:14" ht="13.5" outlineLevel="1" thickBot="1" x14ac:dyDescent="0.25">
      <c r="I2" s="514" t="s">
        <v>216</v>
      </c>
      <c r="J2" s="515"/>
      <c r="K2" s="282" t="s">
        <v>211</v>
      </c>
    </row>
    <row r="3" spans="2:14" ht="13.5" outlineLevel="1" thickBot="1" x14ac:dyDescent="0.25">
      <c r="B3" s="82" t="s">
        <v>73</v>
      </c>
      <c r="C3" s="82" t="s">
        <v>6</v>
      </c>
      <c r="D3" s="83" t="s">
        <v>69</v>
      </c>
      <c r="E3" s="84" t="s">
        <v>70</v>
      </c>
      <c r="F3" s="84" t="s">
        <v>71</v>
      </c>
      <c r="G3" s="85" t="s">
        <v>72</v>
      </c>
      <c r="I3" s="516">
        <v>1</v>
      </c>
      <c r="J3" s="410"/>
      <c r="K3" s="283" t="s">
        <v>212</v>
      </c>
      <c r="M3" s="517" t="str">
        <f>INDEX(Rank, Rank_Link)</f>
        <v>Instructor</v>
      </c>
      <c r="N3" s="518"/>
    </row>
    <row r="4" spans="2:14" ht="13.5" outlineLevel="1" thickBot="1" x14ac:dyDescent="0.25">
      <c r="B4" s="77">
        <v>1</v>
      </c>
      <c r="C4" s="86" t="s">
        <v>65</v>
      </c>
      <c r="D4" s="224">
        <v>1</v>
      </c>
      <c r="E4" s="225"/>
      <c r="F4" s="225"/>
      <c r="G4" s="226"/>
      <c r="K4" s="283" t="s">
        <v>202</v>
      </c>
      <c r="M4" s="519" t="str">
        <f>INDEX(SubRank, SubRank_Link)</f>
        <v>I</v>
      </c>
      <c r="N4" s="520"/>
    </row>
    <row r="5" spans="2:14" outlineLevel="1" x14ac:dyDescent="0.2">
      <c r="C5" s="79" t="s">
        <v>66</v>
      </c>
      <c r="D5" s="227">
        <v>0.3</v>
      </c>
      <c r="E5" s="228"/>
      <c r="F5" s="228">
        <v>0.7</v>
      </c>
      <c r="G5" s="229"/>
      <c r="K5" s="283" t="s">
        <v>213</v>
      </c>
    </row>
    <row r="6" spans="2:14" outlineLevel="1" x14ac:dyDescent="0.2">
      <c r="C6" s="79" t="s">
        <v>67</v>
      </c>
      <c r="D6" s="227">
        <v>0.3</v>
      </c>
      <c r="E6" s="228">
        <v>0.7</v>
      </c>
      <c r="F6" s="228"/>
      <c r="G6" s="229"/>
      <c r="K6" s="283" t="s">
        <v>214</v>
      </c>
    </row>
    <row r="7" spans="2:14" ht="13.5" outlineLevel="1" thickBot="1" x14ac:dyDescent="0.25">
      <c r="C7" s="80" t="s">
        <v>68</v>
      </c>
      <c r="D7" s="230">
        <v>0.2</v>
      </c>
      <c r="E7" s="231">
        <v>0.65</v>
      </c>
      <c r="F7" s="231">
        <v>0.1</v>
      </c>
      <c r="G7" s="232">
        <v>0.05</v>
      </c>
      <c r="K7" s="284" t="s">
        <v>215</v>
      </c>
    </row>
    <row r="9" spans="2:14" x14ac:dyDescent="0.2">
      <c r="C9" s="105" t="s">
        <v>85</v>
      </c>
    </row>
    <row r="10" spans="2:14" x14ac:dyDescent="0.2">
      <c r="C10" s="111"/>
      <c r="D10" s="146">
        <f>TI!AI43</f>
        <v>0.25</v>
      </c>
      <c r="E10" s="90"/>
      <c r="F10" s="147">
        <f>TI!AG43</f>
        <v>0.25</v>
      </c>
      <c r="G10" s="106"/>
      <c r="H10" s="148">
        <f>TI!AK43</f>
        <v>0.25</v>
      </c>
      <c r="I10" s="92"/>
      <c r="J10" s="149">
        <f>TI!AE43</f>
        <v>0.25</v>
      </c>
      <c r="K10" s="93"/>
      <c r="L10" s="103"/>
      <c r="M10" s="104" t="s">
        <v>83</v>
      </c>
    </row>
    <row r="11" spans="2:14" x14ac:dyDescent="0.2">
      <c r="C11" s="54" t="s">
        <v>80</v>
      </c>
      <c r="D11" s="94" t="s">
        <v>22</v>
      </c>
      <c r="E11" s="95" t="s">
        <v>81</v>
      </c>
      <c r="F11" s="96" t="s">
        <v>21</v>
      </c>
      <c r="G11" s="97" t="s">
        <v>81</v>
      </c>
      <c r="H11" s="98" t="s">
        <v>23</v>
      </c>
      <c r="I11" s="99" t="s">
        <v>81</v>
      </c>
      <c r="J11" s="100" t="s">
        <v>20</v>
      </c>
      <c r="K11" s="101" t="s">
        <v>81</v>
      </c>
      <c r="L11" s="102" t="s">
        <v>82</v>
      </c>
      <c r="M11" s="69" t="s">
        <v>84</v>
      </c>
    </row>
    <row r="12" spans="2:14" x14ac:dyDescent="0.2">
      <c r="C12" s="54" t="str">
        <f>TI!DC6</f>
        <v xml:space="preserve">,  </v>
      </c>
      <c r="D12" s="154">
        <f>TI!I69</f>
        <v>0</v>
      </c>
      <c r="E12" s="72">
        <v>0</v>
      </c>
      <c r="F12" s="155" t="e">
        <f>TI!MO36</f>
        <v>#DIV/0!</v>
      </c>
      <c r="G12" s="145">
        <f>TI!MC35</f>
        <v>0</v>
      </c>
      <c r="H12" s="154">
        <f>TI!U69</f>
        <v>0</v>
      </c>
      <c r="I12" s="72">
        <v>0</v>
      </c>
      <c r="J12" s="155" t="e">
        <f>TI!DJ36</f>
        <v>#DIV/0!</v>
      </c>
      <c r="K12" s="145">
        <f>TI!B35</f>
        <v>0</v>
      </c>
      <c r="L12" s="156" t="e">
        <f>ROUND(D12*D10+F12*F10+H12*H10+J12*J10,2)</f>
        <v>#DIV/0!</v>
      </c>
      <c r="M12" s="157" t="e">
        <f>STDEVP(D12,F12,H12,J12)</f>
        <v>#DIV/0!</v>
      </c>
    </row>
    <row r="13" spans="2:14" x14ac:dyDescent="0.2">
      <c r="C13" s="112" t="str">
        <f>C12</f>
        <v xml:space="preserve">,  </v>
      </c>
      <c r="D13" s="155">
        <f>D12*TI!AI43</f>
        <v>0</v>
      </c>
      <c r="E13" s="113"/>
      <c r="F13" s="154" t="e">
        <f>F12*TI!AG43</f>
        <v>#DIV/0!</v>
      </c>
      <c r="G13" s="72"/>
      <c r="H13" s="155">
        <f>H12*TI!AK43</f>
        <v>0</v>
      </c>
      <c r="I13" s="113"/>
      <c r="J13" s="154" t="e">
        <f>J12*TI!AE43</f>
        <v>#DIV/0!</v>
      </c>
      <c r="K13" s="72"/>
      <c r="L13" s="155" t="e">
        <f>ROUND(D13+F13+H13+J13,2)</f>
        <v>#DIV/0!</v>
      </c>
      <c r="M13" s="158" t="e">
        <f>STDEVP(D13,F13,H13,J13)</f>
        <v>#DIV/0!</v>
      </c>
    </row>
    <row r="15" spans="2:14" x14ac:dyDescent="0.2">
      <c r="D15" s="218" t="s">
        <v>88</v>
      </c>
      <c r="E15" s="219" t="s">
        <v>107</v>
      </c>
      <c r="F15" s="220" t="s">
        <v>108</v>
      </c>
      <c r="G15" s="221" t="s">
        <v>109</v>
      </c>
      <c r="H15" s="242"/>
      <c r="I15" s="67"/>
      <c r="K15" s="67"/>
      <c r="M15" s="67"/>
    </row>
    <row r="16" spans="2:14" x14ac:dyDescent="0.2">
      <c r="C16" s="206" t="str">
        <f>C12</f>
        <v xml:space="preserve">,  </v>
      </c>
      <c r="D16" s="73" t="e">
        <f>TI!AQ44</f>
        <v>#DIV/0!</v>
      </c>
      <c r="E16" s="73" t="e">
        <f>TI!AQ50</f>
        <v>#DIV/0!</v>
      </c>
      <c r="F16" s="73" t="e">
        <f>TI!AQ56</f>
        <v>#DIV/0!</v>
      </c>
      <c r="G16" s="73" t="e">
        <f>TI!AQ62</f>
        <v>#DIV/0!</v>
      </c>
      <c r="H16" s="54"/>
    </row>
    <row r="17" spans="3:16" x14ac:dyDescent="0.2">
      <c r="C17" s="112" t="str">
        <f>C13</f>
        <v xml:space="preserve">,  </v>
      </c>
      <c r="D17" s="73" t="e">
        <f>TI!AT44</f>
        <v>#DIV/0!</v>
      </c>
      <c r="E17" s="73" t="e">
        <f>TI!AT50</f>
        <v>#DIV/0!</v>
      </c>
      <c r="F17" s="73" t="e">
        <f>TI!AT56</f>
        <v>#DIV/0!</v>
      </c>
      <c r="G17" s="73" t="e">
        <f>TI!AT62</f>
        <v>#DIV/0!</v>
      </c>
      <c r="H17" s="73" t="e">
        <f>G17+F17+E17+D17</f>
        <v>#DIV/0!</v>
      </c>
    </row>
    <row r="22" spans="3:16" x14ac:dyDescent="0.2">
      <c r="E22" s="208" t="s">
        <v>70</v>
      </c>
      <c r="F22" s="209" t="s">
        <v>71</v>
      </c>
      <c r="G22" s="210" t="s">
        <v>72</v>
      </c>
    </row>
    <row r="23" spans="3:16" x14ac:dyDescent="0.2">
      <c r="E23" s="214">
        <f>'03'!C29</f>
        <v>0</v>
      </c>
      <c r="F23" s="215">
        <f>'03'!C36</f>
        <v>0</v>
      </c>
      <c r="G23" s="216">
        <f>'03'!C43</f>
        <v>0</v>
      </c>
    </row>
    <row r="24" spans="3:16" x14ac:dyDescent="0.2">
      <c r="C24" s="204" t="s">
        <v>54</v>
      </c>
      <c r="D24" s="88">
        <f>'03'!F25</f>
        <v>0.25</v>
      </c>
      <c r="E24" s="211">
        <f>'03'!E25</f>
        <v>0</v>
      </c>
      <c r="F24" s="212">
        <f>'03'!E32</f>
        <v>0</v>
      </c>
      <c r="G24" s="211">
        <f>'03'!E39</f>
        <v>0</v>
      </c>
    </row>
    <row r="25" spans="3:16" x14ac:dyDescent="0.2">
      <c r="C25" s="207" t="s">
        <v>55</v>
      </c>
      <c r="D25" s="217">
        <f>'03'!F26</f>
        <v>0.25</v>
      </c>
      <c r="E25" s="9">
        <f>'03'!E26</f>
        <v>0</v>
      </c>
      <c r="F25" s="11">
        <f>'03'!E33</f>
        <v>0</v>
      </c>
      <c r="G25" s="9">
        <f>'03'!E40</f>
        <v>0</v>
      </c>
    </row>
    <row r="26" spans="3:16" x14ac:dyDescent="0.2">
      <c r="C26" s="207" t="s">
        <v>56</v>
      </c>
      <c r="D26" s="217">
        <f>'03'!F27</f>
        <v>0.25</v>
      </c>
      <c r="E26" s="9">
        <f>'03'!E27</f>
        <v>0</v>
      </c>
      <c r="F26" s="11">
        <f>'03'!E34</f>
        <v>0</v>
      </c>
      <c r="G26" s="9">
        <f>'03'!E41</f>
        <v>0</v>
      </c>
    </row>
    <row r="27" spans="3:16" x14ac:dyDescent="0.2">
      <c r="C27" s="205" t="s">
        <v>57</v>
      </c>
      <c r="D27" s="78">
        <f>'03'!F28</f>
        <v>0.25</v>
      </c>
      <c r="E27" s="213">
        <f>'03'!E28</f>
        <v>0</v>
      </c>
      <c r="F27" s="156">
        <f>'03'!E35</f>
        <v>0</v>
      </c>
      <c r="G27" s="213">
        <f>'03'!E42</f>
        <v>0</v>
      </c>
    </row>
    <row r="29" spans="3:16" x14ac:dyDescent="0.2">
      <c r="C29" s="105" t="s">
        <v>92</v>
      </c>
    </row>
    <row r="30" spans="3:16" x14ac:dyDescent="0.2">
      <c r="C30" s="111"/>
      <c r="D30" s="146"/>
      <c r="E30" s="90"/>
      <c r="F30" s="147"/>
      <c r="G30" s="106"/>
      <c r="H30" s="148"/>
      <c r="I30" s="92"/>
      <c r="J30" s="149"/>
      <c r="K30" s="93"/>
      <c r="L30" s="152"/>
      <c r="M30" s="150"/>
      <c r="N30" s="151"/>
      <c r="O30" s="153"/>
      <c r="P30" s="222"/>
    </row>
    <row r="31" spans="3:16" x14ac:dyDescent="0.2">
      <c r="C31" s="112" t="s">
        <v>80</v>
      </c>
      <c r="D31" s="89" t="s">
        <v>86</v>
      </c>
      <c r="E31" s="90" t="s">
        <v>81</v>
      </c>
      <c r="F31" s="106" t="s">
        <v>23</v>
      </c>
      <c r="G31" s="106" t="s">
        <v>81</v>
      </c>
      <c r="H31" s="91" t="s">
        <v>87</v>
      </c>
      <c r="I31" s="92" t="s">
        <v>81</v>
      </c>
      <c r="J31" s="107" t="s">
        <v>88</v>
      </c>
      <c r="K31" s="107" t="s">
        <v>81</v>
      </c>
      <c r="L31" s="108" t="s">
        <v>20</v>
      </c>
      <c r="M31" s="109" t="s">
        <v>89</v>
      </c>
      <c r="N31" s="109" t="s">
        <v>90</v>
      </c>
      <c r="O31" s="110" t="s">
        <v>91</v>
      </c>
      <c r="P31" s="223" t="s">
        <v>81</v>
      </c>
    </row>
    <row r="32" spans="3:16" x14ac:dyDescent="0.2">
      <c r="C32" s="112" t="str">
        <f>TI!DC6</f>
        <v xml:space="preserve">,  </v>
      </c>
      <c r="D32" s="155">
        <f>(E24*$E$23+F24*$F$23+G24*$G$23)*D24</f>
        <v>0</v>
      </c>
      <c r="E32" s="145">
        <f>STDEVP(E24:G24)</f>
        <v>0</v>
      </c>
      <c r="F32" s="154">
        <f>(E25*$E$23+F25*$F$23+G25*$G$23)*D25</f>
        <v>0</v>
      </c>
      <c r="G32" s="154">
        <f>STDEVP(E25:G25)</f>
        <v>0</v>
      </c>
      <c r="H32" s="155">
        <f>(E26*$E$23+F26*$F$23+G26*$G$23)*D26</f>
        <v>0</v>
      </c>
      <c r="I32" s="145">
        <f>STDEVP(E26:G26)</f>
        <v>0</v>
      </c>
      <c r="J32" s="154">
        <f>(E27*$E$23+F27*$F$23+G27*$G$23)*D27</f>
        <v>0</v>
      </c>
      <c r="K32" s="154">
        <f>STDEVP(E27:G27)</f>
        <v>0</v>
      </c>
      <c r="L32" s="73">
        <f>J32+H32+F32+D32</f>
        <v>0</v>
      </c>
      <c r="M32" s="154">
        <v>2</v>
      </c>
      <c r="N32" s="154">
        <f>M32*L32</f>
        <v>0</v>
      </c>
      <c r="O32" s="155">
        <f>J32+H32+F32+D32</f>
        <v>0</v>
      </c>
      <c r="P32" s="73">
        <f>STDEVP(J32,H32,F32,D32)</f>
        <v>0</v>
      </c>
    </row>
    <row r="33" spans="3:17" x14ac:dyDescent="0.2">
      <c r="C33" s="112" t="str">
        <f>C32</f>
        <v xml:space="preserve">,  </v>
      </c>
      <c r="D33" s="112"/>
      <c r="E33" s="113"/>
      <c r="F33" s="72"/>
      <c r="G33" s="72"/>
      <c r="H33" s="112"/>
      <c r="I33" s="113"/>
      <c r="J33" s="72"/>
      <c r="K33" s="72"/>
      <c r="L33" s="54"/>
      <c r="M33" s="72"/>
      <c r="N33" s="72"/>
      <c r="O33" s="112"/>
      <c r="P33" s="54"/>
    </row>
    <row r="35" spans="3:17" x14ac:dyDescent="0.2">
      <c r="C35" s="507" t="s">
        <v>80</v>
      </c>
      <c r="D35" s="509" t="s">
        <v>69</v>
      </c>
      <c r="E35" s="509"/>
      <c r="F35" s="509"/>
      <c r="G35" s="510" t="s">
        <v>70</v>
      </c>
      <c r="H35" s="510"/>
      <c r="I35" s="510"/>
      <c r="J35" s="511" t="s">
        <v>71</v>
      </c>
      <c r="K35" s="511"/>
      <c r="L35" s="511"/>
      <c r="M35" s="512" t="s">
        <v>72</v>
      </c>
      <c r="N35" s="512"/>
      <c r="O35" s="512"/>
      <c r="P35" s="521" t="s">
        <v>91</v>
      </c>
      <c r="Q35" s="513" t="s">
        <v>81</v>
      </c>
    </row>
    <row r="36" spans="3:17" x14ac:dyDescent="0.2">
      <c r="C36" s="508"/>
      <c r="D36" s="218" t="s">
        <v>20</v>
      </c>
      <c r="E36" s="218" t="s">
        <v>89</v>
      </c>
      <c r="F36" s="218" t="s">
        <v>110</v>
      </c>
      <c r="G36" s="219" t="s">
        <v>20</v>
      </c>
      <c r="H36" s="219" t="s">
        <v>89</v>
      </c>
      <c r="I36" s="219" t="s">
        <v>110</v>
      </c>
      <c r="J36" s="220" t="s">
        <v>20</v>
      </c>
      <c r="K36" s="220" t="s">
        <v>89</v>
      </c>
      <c r="L36" s="220" t="s">
        <v>110</v>
      </c>
      <c r="M36" s="221" t="s">
        <v>20</v>
      </c>
      <c r="N36" s="221" t="s">
        <v>89</v>
      </c>
      <c r="O36" s="221" t="s">
        <v>110</v>
      </c>
      <c r="P36" s="521"/>
      <c r="Q36" s="513"/>
    </row>
    <row r="37" spans="3:17" x14ac:dyDescent="0.2">
      <c r="C37" s="54" t="str">
        <f>C32</f>
        <v xml:space="preserve">,  </v>
      </c>
      <c r="D37" s="73" t="e">
        <f>'03'!D22</f>
        <v>#DIV/0!</v>
      </c>
      <c r="E37" s="73">
        <v>2</v>
      </c>
      <c r="F37" s="73" t="e">
        <f>E37*D37</f>
        <v>#DIV/0!</v>
      </c>
      <c r="G37" s="73">
        <f>'03'!D29</f>
        <v>0</v>
      </c>
      <c r="H37" s="73">
        <v>3.3333333333333299</v>
      </c>
      <c r="I37" s="73">
        <f>H37*G37</f>
        <v>0</v>
      </c>
      <c r="J37" s="73">
        <f>'03'!D36</f>
        <v>0</v>
      </c>
      <c r="K37" s="73">
        <v>10</v>
      </c>
      <c r="L37" s="73">
        <f>K37*J37</f>
        <v>0</v>
      </c>
      <c r="M37" s="73">
        <f>'03'!D43</f>
        <v>0</v>
      </c>
      <c r="N37" s="73">
        <v>10</v>
      </c>
      <c r="O37" s="73">
        <f>N37*M37</f>
        <v>0</v>
      </c>
      <c r="P37" s="73" t="e">
        <f>M37+J37+G37+D37</f>
        <v>#DIV/0!</v>
      </c>
      <c r="Q37" s="73" t="e">
        <f>STDEVP(O37,L37,I37,F37)</f>
        <v>#DIV/0!</v>
      </c>
    </row>
    <row r="38" spans="3:17" x14ac:dyDescent="0.2">
      <c r="C38" s="54" t="str">
        <f>C33</f>
        <v xml:space="preserve">,  </v>
      </c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</row>
    <row r="39" spans="3:17" x14ac:dyDescent="0.2">
      <c r="L39" s="198"/>
    </row>
    <row r="40" spans="3:17" x14ac:dyDescent="0.2">
      <c r="L40" s="198"/>
    </row>
  </sheetData>
  <mergeCells count="11">
    <mergeCell ref="Q35:Q36"/>
    <mergeCell ref="I2:J2"/>
    <mergeCell ref="I3:J3"/>
    <mergeCell ref="M3:N3"/>
    <mergeCell ref="M4:N4"/>
    <mergeCell ref="P35:P36"/>
    <mergeCell ref="C35:C36"/>
    <mergeCell ref="D35:F35"/>
    <mergeCell ref="G35:I35"/>
    <mergeCell ref="J35:L35"/>
    <mergeCell ref="M35:O35"/>
  </mergeCells>
  <phoneticPr fontId="4" type="noConversion"/>
  <pageMargins left="0.75" right="0.75" top="1" bottom="1" header="0.5" footer="0.5"/>
  <pageSetup paperSize="256" orientation="landscape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11</vt:i4>
      </vt:variant>
    </vt:vector>
  </HeadingPairs>
  <TitlesOfParts>
    <vt:vector size="26" baseType="lpstr">
      <vt:lpstr>Faculty</vt:lpstr>
      <vt:lpstr>Entry</vt:lpstr>
      <vt:lpstr>TI</vt:lpstr>
      <vt:lpstr>TER</vt:lpstr>
      <vt:lpstr>TR</vt:lpstr>
      <vt:lpstr>TE</vt:lpstr>
      <vt:lpstr>TP</vt:lpstr>
      <vt:lpstr>02A-S</vt:lpstr>
      <vt:lpstr>02A-P</vt:lpstr>
      <vt:lpstr>02B-Res</vt:lpstr>
      <vt:lpstr>02B-Ext</vt:lpstr>
      <vt:lpstr>02B-Prod</vt:lpstr>
      <vt:lpstr>03</vt:lpstr>
      <vt:lpstr>03-new</vt:lpstr>
      <vt:lpstr>DATA</vt:lpstr>
      <vt:lpstr>Extension</vt:lpstr>
      <vt:lpstr>Instruction</vt:lpstr>
      <vt:lpstr>'03-new'!Print_Area</vt:lpstr>
      <vt:lpstr>TE!Print_Area</vt:lpstr>
      <vt:lpstr>TP!Print_Area</vt:lpstr>
      <vt:lpstr>Production</vt:lpstr>
      <vt:lpstr>Rank</vt:lpstr>
      <vt:lpstr>Rank_Link</vt:lpstr>
      <vt:lpstr>Research</vt:lpstr>
      <vt:lpstr>SubRank</vt:lpstr>
      <vt:lpstr>SubRank_Link</vt:lpstr>
    </vt:vector>
  </TitlesOfParts>
  <Company>cnsc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Celica Ishfaq</cp:lastModifiedBy>
  <cp:lastPrinted>2024-04-08T07:10:45Z</cp:lastPrinted>
  <dcterms:created xsi:type="dcterms:W3CDTF">2003-02-05T08:01:52Z</dcterms:created>
  <dcterms:modified xsi:type="dcterms:W3CDTF">2025-10-02T05:45:24Z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c4d705be-fdd6-4c0e-ae08-e8583f7d902a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2024-01-09T09:06:55Z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89bc5026-aac6-4219-8b1a-84108036879c</vt:lpwstr>
  </property>
  <property fmtid="{D5CDD505-2E9C-101B-9397-08002B2CF9AE}" pid="8" name="MSIP_Label_defa4170-0d19-0005-0004-bc88714345d2_ActionId">
    <vt:lpwstr>934269a9-de57-4c0a-a149-981fe53a1135</vt:lpwstr>
  </property>
  <property fmtid="{D5CDD505-2E9C-101B-9397-08002B2CF9AE}" pid="9" name="MSIP_Label_defa4170-0d19-0005-0004-bc88714345d2_ContentBits">
    <vt:lpwstr>0</vt:lpwstr>
  </property>
</Properties>
</file>